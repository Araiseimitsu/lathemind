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200\共有\製造課\加工工程管理表、プログラム\不二プレシジョン\08121-26312A (08121-26311A)\20250206L32(1M12)\"/>
    </mc:Choice>
  </mc:AlternateContent>
  <xr:revisionPtr revIDLastSave="0" documentId="13_ncr:1_{BEF1A5F8-DA61-4EC0-9B02-D40E639B0E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加工工程管理表" sheetId="5" r:id="rId1"/>
    <sheet name="刃工具詳細" sheetId="1" r:id="rId2"/>
    <sheet name="棚番リンク🔒1111" sheetId="8" r:id="rId3"/>
  </sheets>
  <externalReferences>
    <externalReference r:id="rId4"/>
  </externalReferences>
  <definedNames>
    <definedName name="_xlnm._FilterDatabase" localSheetId="0" hidden="1">加工工程管理表!$V$1:$AA$3</definedName>
    <definedName name="_xlnm.Print_Area" localSheetId="0">加工工程管理表!$A$1:$AA$62</definedName>
  </definedNames>
  <calcPr calcId="191029"/>
</workbook>
</file>

<file path=xl/calcChain.xml><?xml version="1.0" encoding="utf-8"?>
<calcChain xmlns="http://schemas.openxmlformats.org/spreadsheetml/2006/main">
  <c r="G55" i="5" l="1"/>
  <c r="G57" i="5"/>
  <c r="J16" i="5"/>
  <c r="G49" i="5"/>
  <c r="G51" i="5"/>
  <c r="G53" i="5"/>
  <c r="G39" i="5"/>
  <c r="G29" i="5"/>
  <c r="G25" i="5"/>
  <c r="G23" i="5"/>
  <c r="G21" i="5"/>
  <c r="G19" i="5"/>
  <c r="P59" i="5"/>
  <c r="G59" i="5"/>
  <c r="P57" i="5"/>
  <c r="P55" i="5"/>
  <c r="P53" i="5"/>
  <c r="P51" i="5"/>
  <c r="P49" i="5"/>
  <c r="P47" i="5"/>
  <c r="P45" i="5"/>
  <c r="P43" i="5"/>
  <c r="P41" i="5"/>
  <c r="P39" i="5"/>
  <c r="V25" i="8" l="1"/>
  <c r="V26" i="8"/>
  <c r="V27" i="8"/>
  <c r="V28" i="8"/>
  <c r="B44" i="8"/>
  <c r="B42" i="8"/>
  <c r="B41" i="8"/>
  <c r="B40" i="8"/>
  <c r="B39" i="8"/>
  <c r="B38" i="8"/>
  <c r="B37" i="8"/>
  <c r="B36" i="8"/>
  <c r="N35" i="8"/>
  <c r="B35" i="8"/>
  <c r="N34" i="8"/>
  <c r="B34" i="8"/>
  <c r="N33" i="8"/>
  <c r="B33" i="8"/>
  <c r="N32" i="8"/>
  <c r="B32" i="8"/>
  <c r="N31" i="8"/>
  <c r="B31" i="8"/>
  <c r="N30" i="8"/>
  <c r="B30" i="8"/>
  <c r="N29" i="8"/>
  <c r="J29" i="8"/>
  <c r="B29" i="8"/>
  <c r="N28" i="8"/>
  <c r="J28" i="8"/>
  <c r="B28" i="8"/>
  <c r="R27" i="8"/>
  <c r="N27" i="8"/>
  <c r="J27" i="8"/>
  <c r="B27" i="8"/>
  <c r="R26" i="8"/>
  <c r="N26" i="8"/>
  <c r="J26" i="8"/>
  <c r="B26" i="8"/>
  <c r="R25" i="8"/>
  <c r="N25" i="8"/>
  <c r="J25" i="8"/>
  <c r="B25" i="8"/>
  <c r="V24" i="8"/>
  <c r="R24" i="8"/>
  <c r="N24" i="8"/>
  <c r="J24" i="8"/>
  <c r="B24" i="8"/>
  <c r="V23" i="8"/>
  <c r="R23" i="8"/>
  <c r="N23" i="8"/>
  <c r="J23" i="8"/>
  <c r="B23" i="8"/>
  <c r="V22" i="8"/>
  <c r="R22" i="8"/>
  <c r="N22" i="8"/>
  <c r="J22" i="8"/>
  <c r="B22" i="8"/>
  <c r="V21" i="8"/>
  <c r="R21" i="8"/>
  <c r="N21" i="8"/>
  <c r="J21" i="8"/>
  <c r="B21" i="8"/>
  <c r="V20" i="8"/>
  <c r="R20" i="8"/>
  <c r="N20" i="8"/>
  <c r="J20" i="8"/>
  <c r="B20" i="8"/>
  <c r="V19" i="8"/>
  <c r="R19" i="8"/>
  <c r="N19" i="8"/>
  <c r="J19" i="8"/>
  <c r="B19" i="8"/>
  <c r="V18" i="8"/>
  <c r="R18" i="8"/>
  <c r="N18" i="8"/>
  <c r="J18" i="8"/>
  <c r="B18" i="8"/>
  <c r="V17" i="8"/>
  <c r="R17" i="8"/>
  <c r="N17" i="8"/>
  <c r="J17" i="8"/>
  <c r="B17" i="8"/>
  <c r="V16" i="8"/>
  <c r="R16" i="8"/>
  <c r="N16" i="8"/>
  <c r="J16" i="8"/>
  <c r="F16" i="8"/>
  <c r="B16" i="8"/>
  <c r="Z15" i="8"/>
  <c r="V15" i="8"/>
  <c r="R15" i="8"/>
  <c r="N15" i="8"/>
  <c r="J15" i="8"/>
  <c r="F15" i="8"/>
  <c r="B15" i="8"/>
  <c r="Z14" i="8"/>
  <c r="V14" i="8"/>
  <c r="R14" i="8"/>
  <c r="N14" i="8"/>
  <c r="J14" i="8"/>
  <c r="F14" i="8"/>
  <c r="B14" i="8"/>
  <c r="Z13" i="8"/>
  <c r="V13" i="8"/>
  <c r="R13" i="8"/>
  <c r="N13" i="8"/>
  <c r="J13" i="8"/>
  <c r="F13" i="8"/>
  <c r="B13" i="8"/>
  <c r="AD12" i="8"/>
  <c r="Z12" i="8"/>
  <c r="V12" i="8"/>
  <c r="R12" i="8"/>
  <c r="N12" i="8"/>
  <c r="J12" i="8"/>
  <c r="F12" i="8"/>
  <c r="B12" i="8"/>
  <c r="AD11" i="8"/>
  <c r="Z11" i="8"/>
  <c r="V11" i="8"/>
  <c r="R11" i="8"/>
  <c r="N11" i="8"/>
  <c r="J11" i="8"/>
  <c r="F11" i="8"/>
  <c r="B11" i="8"/>
  <c r="AD10" i="8"/>
  <c r="Z10" i="8"/>
  <c r="V10" i="8"/>
  <c r="R10" i="8"/>
  <c r="N10" i="8"/>
  <c r="J10" i="8"/>
  <c r="F10" i="8"/>
  <c r="B10" i="8"/>
  <c r="AD9" i="8"/>
  <c r="Z9" i="8"/>
  <c r="V9" i="8"/>
  <c r="R9" i="8"/>
  <c r="N9" i="8"/>
  <c r="J9" i="8"/>
  <c r="F9" i="8"/>
  <c r="B9" i="8"/>
  <c r="AD8" i="8"/>
  <c r="Z8" i="8"/>
  <c r="V8" i="8"/>
  <c r="R8" i="8"/>
  <c r="N8" i="8"/>
  <c r="J8" i="8"/>
  <c r="F8" i="8"/>
  <c r="B8" i="8"/>
  <c r="AD7" i="8"/>
  <c r="Z7" i="8"/>
  <c r="V7" i="8"/>
  <c r="R7" i="8"/>
  <c r="N7" i="8"/>
  <c r="J7" i="8"/>
  <c r="F7" i="8"/>
  <c r="B7" i="8"/>
  <c r="AD6" i="8"/>
  <c r="Z6" i="8"/>
  <c r="V6" i="8"/>
  <c r="R6" i="8"/>
  <c r="N6" i="8"/>
  <c r="J6" i="8"/>
  <c r="F6" i="8"/>
  <c r="B6" i="8"/>
  <c r="AD5" i="8"/>
  <c r="Z5" i="8"/>
  <c r="V5" i="8"/>
  <c r="R5" i="8"/>
  <c r="N5" i="8"/>
  <c r="J5" i="8"/>
  <c r="F5" i="8"/>
  <c r="B5" i="8"/>
  <c r="AD4" i="8"/>
  <c r="Z4" i="8"/>
  <c r="V4" i="8"/>
  <c r="R4" i="8"/>
  <c r="N4" i="8"/>
  <c r="J4" i="8"/>
  <c r="F4" i="8"/>
  <c r="B4" i="8"/>
  <c r="AD3" i="8"/>
  <c r="Z3" i="8"/>
  <c r="V3" i="8"/>
  <c r="R3" i="8"/>
  <c r="N3" i="8"/>
  <c r="J3" i="8"/>
  <c r="F3" i="8"/>
  <c r="B3" i="8"/>
  <c r="AA11" i="5"/>
  <c r="Q11" i="5"/>
  <c r="X51" i="5" l="1"/>
  <c r="X49" i="5"/>
  <c r="X47" i="5"/>
  <c r="X45" i="5"/>
  <c r="X43" i="5"/>
  <c r="X41" i="5"/>
  <c r="X39" i="5"/>
  <c r="X37" i="5"/>
  <c r="X35" i="5"/>
  <c r="AJ8" i="5" l="1"/>
  <c r="P8" i="5" s="1"/>
  <c r="M61" i="5" l="1"/>
  <c r="S5" i="1"/>
  <c r="G5" i="1"/>
  <c r="M5" i="1"/>
  <c r="P61" i="5" l="1"/>
  <c r="B4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Akiran</author>
  </authors>
  <commentList>
    <comment ref="AH5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赤文字のみ必要な数値に変更</t>
        </r>
      </text>
    </comment>
  </commentList>
</comments>
</file>

<file path=xl/sharedStrings.xml><?xml version="1.0" encoding="utf-8"?>
<sst xmlns="http://schemas.openxmlformats.org/spreadsheetml/2006/main" count="233" uniqueCount="181">
  <si>
    <t>部品番号</t>
    <rPh sb="0" eb="2">
      <t>ブヒン</t>
    </rPh>
    <rPh sb="2" eb="4">
      <t>バンゴウ</t>
    </rPh>
    <phoneticPr fontId="4"/>
  </si>
  <si>
    <t>部品名</t>
    <rPh sb="0" eb="2">
      <t>ブヒン</t>
    </rPh>
    <rPh sb="2" eb="3">
      <t>メイ</t>
    </rPh>
    <phoneticPr fontId="4"/>
  </si>
  <si>
    <t>刃物名称</t>
  </si>
  <si>
    <t>ドリル</t>
  </si>
  <si>
    <t>ｻﾞｸﾞﾘ</t>
  </si>
  <si>
    <t>Lｻﾞｸﾞﾘ</t>
  </si>
  <si>
    <t>前挽き</t>
  </si>
  <si>
    <t>突切り</t>
  </si>
  <si>
    <t>機番</t>
    <rPh sb="0" eb="2">
      <t>キバン</t>
    </rPh>
    <phoneticPr fontId="4"/>
  </si>
  <si>
    <t>工具名</t>
    <rPh sb="0" eb="2">
      <t>コウグ</t>
    </rPh>
    <rPh sb="2" eb="3">
      <t>メイ</t>
    </rPh>
    <phoneticPr fontId="4"/>
  </si>
  <si>
    <t>備考</t>
    <rPh sb="0" eb="2">
      <t>ビコウ</t>
    </rPh>
    <phoneticPr fontId="4"/>
  </si>
  <si>
    <t>図</t>
    <rPh sb="0" eb="1">
      <t>ズ</t>
    </rPh>
    <phoneticPr fontId="4"/>
  </si>
  <si>
    <t>T.№</t>
    <phoneticPr fontId="4"/>
  </si>
  <si>
    <t>備考</t>
    <phoneticPr fontId="4"/>
  </si>
  <si>
    <t>T.№</t>
    <phoneticPr fontId="4"/>
  </si>
  <si>
    <t>工具名</t>
    <phoneticPr fontId="4"/>
  </si>
  <si>
    <t>Off.№</t>
    <phoneticPr fontId="4"/>
  </si>
  <si>
    <t>T.№</t>
    <phoneticPr fontId="4"/>
  </si>
  <si>
    <t>チェーシング</t>
    <phoneticPr fontId="4"/>
  </si>
  <si>
    <t>チェーシングザグリ</t>
    <phoneticPr fontId="4"/>
  </si>
  <si>
    <t>前ミゾ</t>
    <rPh sb="0" eb="1">
      <t>マエ</t>
    </rPh>
    <phoneticPr fontId="4"/>
  </si>
  <si>
    <t>ミゾ</t>
    <phoneticPr fontId="4"/>
  </si>
  <si>
    <t>ミゾ挽き</t>
    <rPh sb="2" eb="3">
      <t>ヒ</t>
    </rPh>
    <phoneticPr fontId="4"/>
  </si>
  <si>
    <t>ウラミゾ</t>
    <phoneticPr fontId="4"/>
  </si>
  <si>
    <t>ウラ挽き</t>
    <phoneticPr fontId="4"/>
  </si>
  <si>
    <t>クロスセンター</t>
    <phoneticPr fontId="4"/>
  </si>
  <si>
    <t>クロススポッティング</t>
    <phoneticPr fontId="4"/>
  </si>
  <si>
    <t>クロスドリル</t>
    <phoneticPr fontId="4"/>
  </si>
  <si>
    <t>クロスエンドミル</t>
    <phoneticPr fontId="4"/>
  </si>
  <si>
    <t>偏芯センター</t>
    <rPh sb="0" eb="1">
      <t>ヘン</t>
    </rPh>
    <rPh sb="1" eb="2">
      <t>シン</t>
    </rPh>
    <phoneticPr fontId="4"/>
  </si>
  <si>
    <t>偏芯ドリル</t>
    <rPh sb="0" eb="1">
      <t>ヘン</t>
    </rPh>
    <rPh sb="1" eb="2">
      <t>シン</t>
    </rPh>
    <phoneticPr fontId="4"/>
  </si>
  <si>
    <t>偏芯エンドミル</t>
    <rPh sb="0" eb="1">
      <t>ヘン</t>
    </rPh>
    <rPh sb="1" eb="2">
      <t>シン</t>
    </rPh>
    <phoneticPr fontId="4"/>
  </si>
  <si>
    <t>プログラム№</t>
    <phoneticPr fontId="4"/>
  </si>
  <si>
    <t>刃工具交換記録</t>
    <rPh sb="0" eb="1">
      <t>ハ</t>
    </rPh>
    <rPh sb="1" eb="3">
      <t>コウグ</t>
    </rPh>
    <rPh sb="3" eb="5">
      <t>コウカン</t>
    </rPh>
    <rPh sb="5" eb="7">
      <t>キロク</t>
    </rPh>
    <phoneticPr fontId="4"/>
  </si>
  <si>
    <t>カゴ</t>
    <phoneticPr fontId="4"/>
  </si>
  <si>
    <t>正面加工ツール</t>
    <rPh sb="0" eb="2">
      <t>ショウメン</t>
    </rPh>
    <rPh sb="2" eb="4">
      <t>カコウ</t>
    </rPh>
    <phoneticPr fontId="4"/>
  </si>
  <si>
    <t>背面加工ツール</t>
    <rPh sb="0" eb="2">
      <t>ハイメン</t>
    </rPh>
    <rPh sb="2" eb="4">
      <t>カコウ</t>
    </rPh>
    <phoneticPr fontId="4"/>
  </si>
  <si>
    <t>客先名</t>
    <rPh sb="0" eb="2">
      <t>キャクサキ</t>
    </rPh>
    <rPh sb="2" eb="3">
      <t>メイ</t>
    </rPh>
    <phoneticPr fontId="4"/>
  </si>
  <si>
    <t>背面チャック力</t>
    <rPh sb="0" eb="2">
      <t>ハイメン</t>
    </rPh>
    <rPh sb="6" eb="7">
      <t>チカラ</t>
    </rPh>
    <phoneticPr fontId="4"/>
  </si>
  <si>
    <t>サブプログラム№</t>
    <phoneticPr fontId="4"/>
  </si>
  <si>
    <t>全長</t>
    <rPh sb="0" eb="2">
      <t>ゼンチョウ</t>
    </rPh>
    <phoneticPr fontId="4"/>
  </si>
  <si>
    <t>背面チャック径・種類</t>
    <rPh sb="0" eb="2">
      <t>ハイメン</t>
    </rPh>
    <rPh sb="6" eb="7">
      <t>ケイ</t>
    </rPh>
    <rPh sb="8" eb="10">
      <t>シュルイ</t>
    </rPh>
    <phoneticPr fontId="4"/>
  </si>
  <si>
    <t xml:space="preserve">加工工程管理表  </t>
    <rPh sb="0" eb="2">
      <t>カコウ</t>
    </rPh>
    <phoneticPr fontId="4"/>
  </si>
  <si>
    <t>加工予定数</t>
    <rPh sb="0" eb="2">
      <t>カコウ</t>
    </rPh>
    <rPh sb="2" eb="5">
      <t>ヨテイスウ</t>
    </rPh>
    <phoneticPr fontId="4"/>
  </si>
  <si>
    <t>使用本数/日</t>
    <rPh sb="0" eb="2">
      <t>シヨウ</t>
    </rPh>
    <rPh sb="2" eb="4">
      <t>ホンスウ</t>
    </rPh>
    <rPh sb="5" eb="6">
      <t>ヒ</t>
    </rPh>
    <phoneticPr fontId="4"/>
  </si>
  <si>
    <t>取り数/1本</t>
    <rPh sb="0" eb="1">
      <t>ト</t>
    </rPh>
    <rPh sb="2" eb="3">
      <t>スウ</t>
    </rPh>
    <rPh sb="5" eb="6">
      <t>ホン</t>
    </rPh>
    <phoneticPr fontId="4"/>
  </si>
  <si>
    <t>前なめ</t>
    <rPh sb="0" eb="1">
      <t>マエ</t>
    </rPh>
    <phoneticPr fontId="4"/>
  </si>
  <si>
    <t>B前なめ</t>
    <rPh sb="1" eb="2">
      <t>マエ</t>
    </rPh>
    <phoneticPr fontId="4"/>
  </si>
  <si>
    <t>材料長</t>
    <rPh sb="0" eb="2">
      <t>ザイリョウ</t>
    </rPh>
    <rPh sb="2" eb="3">
      <t>チョウ</t>
    </rPh>
    <phoneticPr fontId="4"/>
  </si>
  <si>
    <t>段取り者</t>
  </si>
  <si>
    <t>材質・径</t>
    <rPh sb="0" eb="2">
      <t>ザイシツ</t>
    </rPh>
    <rPh sb="3" eb="4">
      <t>ケイ</t>
    </rPh>
    <phoneticPr fontId="4"/>
  </si>
  <si>
    <t>主軸チャック力</t>
    <rPh sb="0" eb="2">
      <t>シュジク</t>
    </rPh>
    <rPh sb="6" eb="7">
      <t>チカラ</t>
    </rPh>
    <phoneticPr fontId="4"/>
  </si>
  <si>
    <t>原本作成</t>
    <rPh sb="0" eb="2">
      <t>ゲンポン</t>
    </rPh>
    <rPh sb="2" eb="4">
      <t>サクセイ</t>
    </rPh>
    <phoneticPr fontId="4"/>
  </si>
  <si>
    <t>作成日</t>
    <rPh sb="0" eb="3">
      <t>サクセイビ</t>
    </rPh>
    <phoneticPr fontId="4"/>
  </si>
  <si>
    <t>日産（23h）数</t>
    <rPh sb="0" eb="2">
      <t>ニッサン</t>
    </rPh>
    <rPh sb="7" eb="8">
      <t>スウ</t>
    </rPh>
    <phoneticPr fontId="4"/>
  </si>
  <si>
    <t>加工工程管理表　刃工具詳細</t>
    <rPh sb="0" eb="2">
      <t>カコウ</t>
    </rPh>
    <rPh sb="8" eb="9">
      <t>ハ</t>
    </rPh>
    <rPh sb="9" eb="11">
      <t>コウグ</t>
    </rPh>
    <rPh sb="11" eb="13">
      <t>ショウサイ</t>
    </rPh>
    <phoneticPr fontId="4"/>
  </si>
  <si>
    <t>加工機種(型式）</t>
    <rPh sb="0" eb="2">
      <t>カコウ</t>
    </rPh>
    <rPh sb="2" eb="4">
      <t>キシュ</t>
    </rPh>
    <rPh sb="5" eb="7">
      <t>カタシキ</t>
    </rPh>
    <phoneticPr fontId="4"/>
  </si>
  <si>
    <t>センター</t>
    <phoneticPr fontId="4"/>
  </si>
  <si>
    <t>突切り巾+2回突切り量</t>
    <rPh sb="0" eb="2">
      <t>ツッキ</t>
    </rPh>
    <rPh sb="3" eb="4">
      <t>ハバ</t>
    </rPh>
    <rPh sb="6" eb="7">
      <t>カイ</t>
    </rPh>
    <rPh sb="7" eb="9">
      <t>ツッキ</t>
    </rPh>
    <rPh sb="10" eb="11">
      <t>リョウ</t>
    </rPh>
    <phoneticPr fontId="4"/>
  </si>
  <si>
    <t>加工方向</t>
    <rPh sb="0" eb="2">
      <t>カコウ</t>
    </rPh>
    <rPh sb="2" eb="4">
      <t>ホウコウ</t>
    </rPh>
    <phoneticPr fontId="4"/>
  </si>
  <si>
    <t>専用刃工具</t>
    <rPh sb="0" eb="2">
      <t>センヨウ</t>
    </rPh>
    <rPh sb="2" eb="3">
      <t>ハ</t>
    </rPh>
    <rPh sb="3" eb="5">
      <t>コウグ</t>
    </rPh>
    <phoneticPr fontId="4"/>
  </si>
  <si>
    <t>作業指示書</t>
    <rPh sb="0" eb="2">
      <t>サギョウ</t>
    </rPh>
    <rPh sb="2" eb="5">
      <t>シジショ</t>
    </rPh>
    <phoneticPr fontId="4"/>
  </si>
  <si>
    <t>（株）新井精密</t>
    <rPh sb="0" eb="3">
      <t>カブ</t>
    </rPh>
    <rPh sb="3" eb="5">
      <t>アライ</t>
    </rPh>
    <rPh sb="5" eb="7">
      <t>セイミツ</t>
    </rPh>
    <phoneticPr fontId="4"/>
  </si>
  <si>
    <t>ザル（小）</t>
    <rPh sb="3" eb="4">
      <t>ショウ</t>
    </rPh>
    <phoneticPr fontId="4"/>
  </si>
  <si>
    <t>ザル（中）</t>
    <rPh sb="3" eb="4">
      <t>チュウ</t>
    </rPh>
    <phoneticPr fontId="4"/>
  </si>
  <si>
    <t>ザル（大）</t>
    <rPh sb="3" eb="4">
      <t>ダイ</t>
    </rPh>
    <phoneticPr fontId="4"/>
  </si>
  <si>
    <t>ザル（指定なし）</t>
    <rPh sb="3" eb="5">
      <t>シテイ</t>
    </rPh>
    <phoneticPr fontId="4"/>
  </si>
  <si>
    <t>取っ手付き金網</t>
    <rPh sb="0" eb="1">
      <t>ト</t>
    </rPh>
    <rPh sb="2" eb="3">
      <t>テ</t>
    </rPh>
    <rPh sb="3" eb="4">
      <t>ツ</t>
    </rPh>
    <rPh sb="5" eb="7">
      <t>カナアミ</t>
    </rPh>
    <phoneticPr fontId="4"/>
  </si>
  <si>
    <t>製品入れ</t>
    <rPh sb="0" eb="2">
      <t>セイヒン</t>
    </rPh>
    <rPh sb="2" eb="3">
      <t>イ</t>
    </rPh>
    <phoneticPr fontId="4"/>
  </si>
  <si>
    <t>その他</t>
    <rPh sb="2" eb="3">
      <t>タ</t>
    </rPh>
    <phoneticPr fontId="4"/>
  </si>
  <si>
    <t>生産管理シート</t>
    <rPh sb="0" eb="4">
      <t>セイサンカンリ</t>
    </rPh>
    <phoneticPr fontId="4"/>
  </si>
  <si>
    <t>最低必要数</t>
    <rPh sb="0" eb="2">
      <t>サイテイ</t>
    </rPh>
    <rPh sb="2" eb="5">
      <t>ヒツヨウスウ</t>
    </rPh>
    <phoneticPr fontId="4"/>
  </si>
  <si>
    <t>改定日</t>
    <rPh sb="0" eb="2">
      <t>カイテイ</t>
    </rPh>
    <rPh sb="2" eb="3">
      <t>ビ</t>
    </rPh>
    <phoneticPr fontId="4"/>
  </si>
  <si>
    <t>ザル（極小）</t>
    <rPh sb="3" eb="4">
      <t>ゴク</t>
    </rPh>
    <rPh sb="4" eb="5">
      <t>ショウ</t>
    </rPh>
    <phoneticPr fontId="4"/>
  </si>
  <si>
    <t>アルミトレイ（ピン）</t>
    <phoneticPr fontId="4"/>
  </si>
  <si>
    <t>C/T</t>
    <phoneticPr fontId="4"/>
  </si>
  <si>
    <t>高田</t>
  </si>
  <si>
    <t>段取り日</t>
    <rPh sb="0" eb="2">
      <t>ダンド</t>
    </rPh>
    <rPh sb="3" eb="4">
      <t>ビ</t>
    </rPh>
    <phoneticPr fontId="4"/>
  </si>
  <si>
    <t>無</t>
    <phoneticPr fontId="4"/>
  </si>
  <si>
    <t>製造課　課長　高田</t>
    <rPh sb="0" eb="2">
      <t>セイゾウ</t>
    </rPh>
    <rPh sb="2" eb="3">
      <t>カ</t>
    </rPh>
    <rPh sb="4" eb="6">
      <t>カチョウ</t>
    </rPh>
    <rPh sb="7" eb="9">
      <t>タカダ</t>
    </rPh>
    <phoneticPr fontId="4"/>
  </si>
  <si>
    <t>エンドミル</t>
    <phoneticPr fontId="29"/>
  </si>
  <si>
    <t>センター</t>
    <phoneticPr fontId="29"/>
  </si>
  <si>
    <t>ウラ挽き（旧番+100）</t>
    <rPh sb="2" eb="3">
      <t>ビ</t>
    </rPh>
    <rPh sb="5" eb="6">
      <t>キュウ</t>
    </rPh>
    <rPh sb="6" eb="7">
      <t>バン</t>
    </rPh>
    <phoneticPr fontId="29"/>
  </si>
  <si>
    <t>端面挽量</t>
    <rPh sb="0" eb="2">
      <t>タンメン</t>
    </rPh>
    <rPh sb="2" eb="3">
      <t>ヒキ</t>
    </rPh>
    <rPh sb="3" eb="4">
      <t>リョウ</t>
    </rPh>
    <phoneticPr fontId="4"/>
  </si>
  <si>
    <t>金ザル</t>
    <rPh sb="0" eb="1">
      <t>カネ</t>
    </rPh>
    <phoneticPr fontId="4"/>
  </si>
  <si>
    <t>アルミトレイ(H35.0)</t>
    <phoneticPr fontId="4"/>
  </si>
  <si>
    <t>アルミトレイ(H45.0)</t>
    <phoneticPr fontId="4"/>
  </si>
  <si>
    <t>樹脂トレイ</t>
    <rPh sb="0" eb="2">
      <t>ジュシ</t>
    </rPh>
    <phoneticPr fontId="4"/>
  </si>
  <si>
    <t>有　小袋</t>
    <rPh sb="0" eb="1">
      <t>ア</t>
    </rPh>
    <rPh sb="2" eb="3">
      <t>ショウ</t>
    </rPh>
    <rPh sb="3" eb="4">
      <t>フクロ</t>
    </rPh>
    <phoneticPr fontId="4"/>
  </si>
  <si>
    <t>有　大袋</t>
    <rPh sb="0" eb="1">
      <t>ア</t>
    </rPh>
    <rPh sb="2" eb="3">
      <t>ダイ</t>
    </rPh>
    <rPh sb="3" eb="4">
      <t>フクロ</t>
    </rPh>
    <phoneticPr fontId="4"/>
  </si>
  <si>
    <t>無</t>
    <rPh sb="0" eb="1">
      <t>ナ</t>
    </rPh>
    <phoneticPr fontId="4"/>
  </si>
  <si>
    <t>アルミトレイ(H25.0)</t>
    <phoneticPr fontId="4"/>
  </si>
  <si>
    <t>有　ザルをまとめない</t>
    <rPh sb="0" eb="1">
      <t>ア</t>
    </rPh>
    <phoneticPr fontId="4"/>
  </si>
  <si>
    <t>有　製品取扱注意</t>
    <rPh sb="0" eb="1">
      <t>アリ</t>
    </rPh>
    <rPh sb="2" eb="8">
      <t>セイヒントリアツカイチュウイ</t>
    </rPh>
    <phoneticPr fontId="4"/>
  </si>
  <si>
    <t>無</t>
    <rPh sb="0" eb="1">
      <t>ナ</t>
    </rPh>
    <phoneticPr fontId="4"/>
  </si>
  <si>
    <t>回収装置</t>
    <rPh sb="0" eb="2">
      <t>カイシュウ</t>
    </rPh>
    <rPh sb="2" eb="4">
      <t>ソウチ</t>
    </rPh>
    <phoneticPr fontId="4"/>
  </si>
  <si>
    <t>回収装置（回転式）</t>
    <rPh sb="0" eb="2">
      <t>カイシュウ</t>
    </rPh>
    <rPh sb="2" eb="4">
      <t>ソウチ</t>
    </rPh>
    <rPh sb="5" eb="8">
      <t>カイテンシキ</t>
    </rPh>
    <phoneticPr fontId="4"/>
  </si>
  <si>
    <t>回収装置（シリンダー式）</t>
    <rPh sb="0" eb="2">
      <t>カイシュウ</t>
    </rPh>
    <rPh sb="2" eb="4">
      <t>ソウチ</t>
    </rPh>
    <rPh sb="10" eb="11">
      <t>シキ</t>
    </rPh>
    <phoneticPr fontId="4"/>
  </si>
  <si>
    <t>製品回収方法</t>
    <rPh sb="0" eb="4">
      <t>セイヒンカイシュウ</t>
    </rPh>
    <rPh sb="4" eb="6">
      <t>ホウホウ</t>
    </rPh>
    <phoneticPr fontId="4"/>
  </si>
  <si>
    <t>直接回収</t>
    <rPh sb="0" eb="2">
      <t>チョクセツ</t>
    </rPh>
    <rPh sb="2" eb="4">
      <t>カイシュウ</t>
    </rPh>
    <phoneticPr fontId="4"/>
  </si>
  <si>
    <t>直接回収（油溜）</t>
    <rPh sb="0" eb="2">
      <t>チョクセツ</t>
    </rPh>
    <rPh sb="2" eb="4">
      <t>カイシュウ</t>
    </rPh>
    <rPh sb="5" eb="6">
      <t>アブラ</t>
    </rPh>
    <rPh sb="6" eb="7">
      <t>タ</t>
    </rPh>
    <phoneticPr fontId="4"/>
  </si>
  <si>
    <t>無</t>
    <rPh sb="0" eb="1">
      <t>ナシ</t>
    </rPh>
    <phoneticPr fontId="4"/>
  </si>
  <si>
    <t>管理シート</t>
    <rPh sb="0" eb="2">
      <t>カンリ</t>
    </rPh>
    <phoneticPr fontId="4"/>
  </si>
  <si>
    <t>特別管理シート</t>
    <rPh sb="0" eb="2">
      <t>トクベツ</t>
    </rPh>
    <rPh sb="2" eb="4">
      <t>カンリ</t>
    </rPh>
    <phoneticPr fontId="4"/>
  </si>
  <si>
    <t>前挽き</t>
    <rPh sb="0" eb="2">
      <t>マエビ</t>
    </rPh>
    <phoneticPr fontId="29"/>
  </si>
  <si>
    <t>チェーシング</t>
    <phoneticPr fontId="29"/>
  </si>
  <si>
    <t>ミゾ</t>
    <phoneticPr fontId="29"/>
  </si>
  <si>
    <t>突切り</t>
    <rPh sb="0" eb="2">
      <t>トツキ</t>
    </rPh>
    <phoneticPr fontId="29"/>
  </si>
  <si>
    <t>ザグリ</t>
    <phoneticPr fontId="29"/>
  </si>
  <si>
    <t>ホンタイ</t>
    <phoneticPr fontId="4"/>
  </si>
  <si>
    <t>A6061-T6 φ35.1</t>
    <phoneticPr fontId="4"/>
  </si>
  <si>
    <t>φ34.75</t>
  </si>
  <si>
    <t>33.3</t>
    <phoneticPr fontId="4"/>
  </si>
  <si>
    <t>φ29.1側から</t>
    <rPh sb="5" eb="6">
      <t>ガワ</t>
    </rPh>
    <phoneticPr fontId="4"/>
  </si>
  <si>
    <t>φ35.0</t>
    <phoneticPr fontId="4"/>
  </si>
  <si>
    <t>φ34.75</t>
    <phoneticPr fontId="4"/>
  </si>
  <si>
    <t>1000  2000  7000</t>
    <phoneticPr fontId="4"/>
  </si>
  <si>
    <t>L32(1M12)GBL</t>
    <phoneticPr fontId="4"/>
  </si>
  <si>
    <t>段ドリル</t>
    <rPh sb="0" eb="1">
      <t>ダン</t>
    </rPh>
    <phoneticPr fontId="4"/>
  </si>
  <si>
    <t>専用</t>
    <rPh sb="0" eb="2">
      <t>センヨウ</t>
    </rPh>
    <phoneticPr fontId="4"/>
  </si>
  <si>
    <t>TA-211007-D1(CJV)</t>
    <phoneticPr fontId="4"/>
  </si>
  <si>
    <t>ザグリ</t>
    <phoneticPr fontId="4"/>
  </si>
  <si>
    <t>ザグリ（仕上げ）</t>
  </si>
  <si>
    <t>09R2</t>
    <phoneticPr fontId="4"/>
  </si>
  <si>
    <t>PCD</t>
    <phoneticPr fontId="4"/>
  </si>
  <si>
    <t>内部給油（ホルダーは工具根本背面からも出るよう社内追加工）</t>
    <rPh sb="10" eb="12">
      <t>コウグ</t>
    </rPh>
    <rPh sb="12" eb="14">
      <t>ネモト</t>
    </rPh>
    <rPh sb="14" eb="16">
      <t>ハイメン</t>
    </rPh>
    <rPh sb="19" eb="20">
      <t>デ</t>
    </rPh>
    <rPh sb="23" eb="25">
      <t>シャナイ</t>
    </rPh>
    <rPh sb="25" eb="28">
      <t>ツイカコウ</t>
    </rPh>
    <rPh sb="28" eb="29">
      <t>サクヒン</t>
    </rPh>
    <phoneticPr fontId="4"/>
  </si>
  <si>
    <t>専用</t>
  </si>
  <si>
    <t>アルミトレイ(H45.0)</t>
  </si>
  <si>
    <t>カット側を下に向け並べる</t>
    <rPh sb="3" eb="4">
      <t>ガワ</t>
    </rPh>
    <rPh sb="5" eb="6">
      <t>シタ</t>
    </rPh>
    <rPh sb="7" eb="8">
      <t>ム</t>
    </rPh>
    <rPh sb="9" eb="10">
      <t>ナラ</t>
    </rPh>
    <phoneticPr fontId="4"/>
  </si>
  <si>
    <t>不二プレシジョン</t>
    <rPh sb="0" eb="2">
      <t>フジ</t>
    </rPh>
    <phoneticPr fontId="4"/>
  </si>
  <si>
    <t>09R1</t>
  </si>
  <si>
    <t>チェーシングザグリ</t>
  </si>
  <si>
    <t>09R2</t>
  </si>
  <si>
    <t>ザグリ（バリ取り）</t>
  </si>
  <si>
    <t>チェーシングザグリ（バリ取り）</t>
  </si>
  <si>
    <t>ミゾ（荒）</t>
  </si>
  <si>
    <t>径-20.0</t>
  </si>
  <si>
    <t>クロスエンドミル</t>
  </si>
  <si>
    <t>φ8.0</t>
  </si>
  <si>
    <t>クロスドリル</t>
  </si>
  <si>
    <t>φ2.4</t>
  </si>
  <si>
    <t>径0</t>
  </si>
  <si>
    <t>ADF-2D(OSG)</t>
  </si>
  <si>
    <t>クロスセンター</t>
  </si>
  <si>
    <t>φ3.0又はφ4.0</t>
  </si>
  <si>
    <t>径-10.0</t>
  </si>
  <si>
    <t>(スピードタイガー)</t>
  </si>
  <si>
    <t>クロスリーマー</t>
  </si>
  <si>
    <t>前挽き（バリ取り）</t>
  </si>
  <si>
    <t>裏挽き</t>
  </si>
  <si>
    <t>総型ミゾ</t>
  </si>
  <si>
    <t>φ9.25</t>
  </si>
  <si>
    <t>クロスボールカッター</t>
  </si>
  <si>
    <t>径0</t>
    <phoneticPr fontId="4"/>
  </si>
  <si>
    <t>XC-28-AS-3F(XEBEC)</t>
    <phoneticPr fontId="4"/>
  </si>
  <si>
    <t>ℓ34.0＆Y方向下向きセット</t>
    <rPh sb="7" eb="11">
      <t>ホウコウシタム</t>
    </rPh>
    <phoneticPr fontId="4"/>
  </si>
  <si>
    <t>長手25.0</t>
  </si>
  <si>
    <t>TA-220517-D1(CJV)</t>
  </si>
  <si>
    <t>専用</t>
    <phoneticPr fontId="4"/>
  </si>
  <si>
    <t>TA-220329-D1-B(CJV)</t>
    <phoneticPr fontId="4"/>
  </si>
  <si>
    <t>クロスボールカッター（バリ取り）</t>
  </si>
  <si>
    <t>突切り（右）</t>
  </si>
  <si>
    <t>08121-26312A</t>
    <phoneticPr fontId="4"/>
  </si>
  <si>
    <t>TA-211007-D2(CJV)</t>
    <phoneticPr fontId="4"/>
  </si>
  <si>
    <t>TA-230510-D1(CJV)</t>
    <phoneticPr fontId="4"/>
  </si>
  <si>
    <t>径5.0</t>
    <phoneticPr fontId="4"/>
  </si>
  <si>
    <t>径10.0</t>
    <rPh sb="0" eb="1">
      <t>ケイ</t>
    </rPh>
    <phoneticPr fontId="4"/>
  </si>
  <si>
    <t>φ2.505</t>
    <phoneticPr fontId="4"/>
  </si>
  <si>
    <t>CE(F.P.)</t>
    <phoneticPr fontId="4"/>
  </si>
  <si>
    <t>径-10.0</t>
    <phoneticPr fontId="4"/>
  </si>
  <si>
    <t>高橋良</t>
    <rPh sb="0" eb="3">
      <t>タカハシヨシ</t>
    </rPh>
    <phoneticPr fontId="4"/>
  </si>
  <si>
    <t>DCMT11T302N-LD（住友）</t>
    <phoneticPr fontId="4"/>
  </si>
  <si>
    <t>連続生産</t>
    <rPh sb="0" eb="4">
      <t>レンゾクセイサン</t>
    </rPh>
    <phoneticPr fontId="4"/>
  </si>
  <si>
    <t>-</t>
    <phoneticPr fontId="4"/>
  </si>
  <si>
    <t>ザグリ（φ22.0部端・内面取り）</t>
    <rPh sb="9" eb="10">
      <t>ブ</t>
    </rPh>
    <phoneticPr fontId="4"/>
  </si>
  <si>
    <t>TA-241001-D2-B(CJV) R0.18</t>
    <phoneticPr fontId="4"/>
  </si>
  <si>
    <t>A-3</t>
    <phoneticPr fontId="4"/>
  </si>
  <si>
    <t>TA-240904-83(CJV)</t>
    <phoneticPr fontId="4"/>
  </si>
  <si>
    <t>内面</t>
    <rPh sb="0" eb="2">
      <t>ウチメン</t>
    </rPh>
    <phoneticPr fontId="4"/>
  </si>
  <si>
    <t>内面</t>
    <phoneticPr fontId="4"/>
  </si>
  <si>
    <t>外面</t>
    <rPh sb="0" eb="1">
      <t>ソト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</si>
</sst>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24" formatCode="\$#,##0_);[Red]\(\$#,##0\)"/>
    <numFmt numFmtId="176" formatCode="0_ "/>
    <numFmt numFmtId="177" formatCode="0.0_);[Red]\(0.0\)"/>
    <numFmt numFmtId="178" formatCode="00"/>
  </numFmts>
  <fonts count="32" x14ac:knownFonts="1">
    <font>
      <sz val="11"/>
      <color indexed="8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u/>
      <sz val="11"/>
      <color indexed="8"/>
      <name val="ＭＳ Ｐゴシック"/>
      <family val="3"/>
      <charset val="128"/>
    </font>
    <font>
      <i/>
      <sz val="18"/>
      <color indexed="8"/>
      <name val="ＭＳ Ｐゴシック"/>
      <family val="3"/>
      <charset val="128"/>
    </font>
    <font>
      <b/>
      <sz val="18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4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i/>
      <sz val="8"/>
      <color indexed="8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7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8"/>
      <color indexed="8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</borders>
  <cellStyleXfs count="5">
    <xf numFmtId="0" fontId="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95">
    <xf numFmtId="0" fontId="0" fillId="0" borderId="0" xfId="0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0" fillId="0" borderId="0" xfId="0" applyAlignment="1">
      <alignment shrinkToFit="1"/>
    </xf>
    <xf numFmtId="0" fontId="5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3" fillId="0" borderId="0" xfId="0" applyFont="1" applyBorder="1" applyAlignment="1">
      <alignment vertical="center" shrinkToFit="1"/>
    </xf>
    <xf numFmtId="0" fontId="5" fillId="0" borderId="0" xfId="0" applyFont="1" applyBorder="1" applyAlignment="1">
      <alignment vertical="center" shrinkToFit="1"/>
    </xf>
    <xf numFmtId="0" fontId="9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left" vertical="center" shrinkToFit="1"/>
    </xf>
    <xf numFmtId="0" fontId="10" fillId="0" borderId="0" xfId="0" applyFont="1" applyAlignment="1">
      <alignment horizontal="center" vertical="center" shrinkToFit="1"/>
    </xf>
    <xf numFmtId="0" fontId="10" fillId="0" borderId="9" xfId="0" applyFont="1" applyBorder="1" applyAlignment="1">
      <alignment horizontal="center" vertical="center" shrinkToFit="1"/>
    </xf>
    <xf numFmtId="49" fontId="14" fillId="0" borderId="0" xfId="0" applyNumberFormat="1" applyFont="1" applyAlignment="1">
      <alignment horizontal="center" vertical="center" shrinkToFit="1"/>
    </xf>
    <xf numFmtId="0" fontId="0" fillId="0" borderId="0" xfId="0" applyAlignment="1">
      <alignment horizontal="left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 shrinkToFit="1"/>
    </xf>
    <xf numFmtId="0" fontId="13" fillId="0" borderId="0" xfId="0" applyFont="1" applyAlignment="1">
      <alignment horizontal="left" vertical="center" shrinkToFit="1"/>
    </xf>
    <xf numFmtId="0" fontId="3" fillId="0" borderId="13" xfId="0" applyFont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1" fillId="0" borderId="9" xfId="0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14" xfId="0" applyBorder="1" applyAlignment="1">
      <alignment horizontal="left" vertical="center" shrinkToFit="1"/>
    </xf>
    <xf numFmtId="0" fontId="0" fillId="0" borderId="3" xfId="0" applyBorder="1" applyAlignment="1">
      <alignment horizontal="left" vertical="center" shrinkToFit="1"/>
    </xf>
    <xf numFmtId="0" fontId="0" fillId="0" borderId="15" xfId="0" applyBorder="1" applyAlignment="1">
      <alignment horizontal="left" vertical="center" shrinkToFit="1"/>
    </xf>
    <xf numFmtId="0" fontId="18" fillId="0" borderId="0" xfId="0" applyFont="1" applyAlignment="1">
      <alignment horizontal="left" vertical="center" shrinkToFit="1"/>
    </xf>
    <xf numFmtId="0" fontId="19" fillId="0" borderId="0" xfId="0" applyFont="1" applyAlignment="1">
      <alignment shrinkToFit="1"/>
    </xf>
    <xf numFmtId="0" fontId="23" fillId="0" borderId="0" xfId="0" applyFont="1" applyAlignment="1">
      <alignment horizontal="center" vertical="center" shrinkToFit="1"/>
    </xf>
    <xf numFmtId="0" fontId="22" fillId="0" borderId="0" xfId="0" applyFont="1" applyAlignment="1">
      <alignment horizontal="left" vertical="center" shrinkToFit="1"/>
    </xf>
    <xf numFmtId="0" fontId="23" fillId="0" borderId="0" xfId="0" applyFont="1" applyAlignment="1">
      <alignment horizontal="left" vertical="center" shrinkToFit="1"/>
    </xf>
    <xf numFmtId="0" fontId="19" fillId="0" borderId="3" xfId="0" applyFont="1" applyBorder="1" applyAlignment="1">
      <alignment vertical="center" shrinkToFit="1"/>
    </xf>
    <xf numFmtId="0" fontId="19" fillId="0" borderId="16" xfId="0" applyFont="1" applyBorder="1" applyAlignment="1">
      <alignment horizontal="left" vertical="center" shrinkToFit="1"/>
    </xf>
    <xf numFmtId="0" fontId="19" fillId="0" borderId="0" xfId="0" applyFont="1" applyBorder="1" applyAlignment="1">
      <alignment horizontal="left" vertical="center" shrinkToFit="1"/>
    </xf>
    <xf numFmtId="0" fontId="19" fillId="0" borderId="9" xfId="0" applyFont="1" applyBorder="1" applyAlignment="1">
      <alignment horizontal="left" vertical="center" shrinkToFit="1"/>
    </xf>
    <xf numFmtId="0" fontId="0" fillId="0" borderId="0" xfId="0" applyAlignment="1"/>
    <xf numFmtId="0" fontId="23" fillId="0" borderId="18" xfId="0" applyFont="1" applyBorder="1" applyAlignment="1">
      <alignment horizontal="center" vertical="center" shrinkToFit="1"/>
    </xf>
    <xf numFmtId="0" fontId="23" fillId="0" borderId="2" xfId="0" applyFont="1" applyBorder="1" applyAlignment="1">
      <alignment horizontal="center" vertical="center" shrinkToFit="1"/>
    </xf>
    <xf numFmtId="177" fontId="25" fillId="0" borderId="19" xfId="0" applyNumberFormat="1" applyFont="1" applyBorder="1" applyAlignment="1">
      <alignment horizontal="center" vertical="center" shrinkToFit="1"/>
    </xf>
    <xf numFmtId="0" fontId="14" fillId="0" borderId="0" xfId="0" applyFont="1" applyAlignment="1" applyProtection="1">
      <alignment horizontal="left" vertical="center"/>
      <protection locked="0"/>
    </xf>
    <xf numFmtId="38" fontId="14" fillId="0" borderId="0" xfId="2" applyFont="1" applyAlignment="1" applyProtection="1">
      <alignment horizontal="left" vertical="center"/>
      <protection locked="0"/>
    </xf>
    <xf numFmtId="38" fontId="25" fillId="0" borderId="22" xfId="2" applyFont="1" applyBorder="1" applyAlignment="1" applyProtection="1">
      <alignment horizontal="center" vertical="center" shrinkToFit="1"/>
      <protection locked="0"/>
    </xf>
    <xf numFmtId="0" fontId="20" fillId="0" borderId="20" xfId="0" applyFont="1" applyFill="1" applyBorder="1" applyAlignment="1">
      <alignment horizontal="center" vertical="center" shrinkToFit="1"/>
    </xf>
    <xf numFmtId="0" fontId="22" fillId="0" borderId="70" xfId="0" applyFont="1" applyFill="1" applyBorder="1" applyAlignment="1">
      <alignment horizontal="center" vertical="center" shrinkToFit="1"/>
    </xf>
    <xf numFmtId="0" fontId="22" fillId="0" borderId="21" xfId="0" applyFont="1" applyFill="1" applyBorder="1" applyAlignment="1">
      <alignment horizontal="center" vertical="center" shrinkToFit="1"/>
    </xf>
    <xf numFmtId="38" fontId="15" fillId="0" borderId="0" xfId="0" applyNumberFormat="1" applyFont="1" applyAlignment="1">
      <alignment horizontal="left" vertical="center"/>
    </xf>
    <xf numFmtId="0" fontId="19" fillId="0" borderId="76" xfId="0" applyFont="1" applyBorder="1" applyAlignment="1" applyProtection="1">
      <alignment horizontal="center" vertical="center" shrinkToFit="1"/>
      <protection locked="0"/>
    </xf>
    <xf numFmtId="0" fontId="23" fillId="0" borderId="75" xfId="0" applyNumberFormat="1" applyFont="1" applyBorder="1" applyAlignment="1" applyProtection="1">
      <alignment horizontal="center" vertical="center" shrinkToFit="1"/>
      <protection locked="0"/>
    </xf>
    <xf numFmtId="0" fontId="0" fillId="0" borderId="0" xfId="0" applyFill="1" applyAlignment="1">
      <alignment horizontal="left" vertical="center"/>
    </xf>
    <xf numFmtId="0" fontId="0" fillId="0" borderId="0" xfId="0" applyFill="1"/>
    <xf numFmtId="0" fontId="30" fillId="0" borderId="0" xfId="0" applyFont="1" applyAlignment="1" applyProtection="1">
      <alignment vertical="center"/>
    </xf>
    <xf numFmtId="0" fontId="30" fillId="0" borderId="0" xfId="0" applyFont="1" applyAlignment="1" applyProtection="1">
      <alignment horizontal="left" vertical="center"/>
    </xf>
    <xf numFmtId="0" fontId="31" fillId="0" borderId="0" xfId="1" applyFont="1" applyAlignment="1" applyProtection="1">
      <alignment horizontal="left" vertical="center"/>
    </xf>
    <xf numFmtId="0" fontId="30" fillId="0" borderId="0" xfId="0" applyFont="1" applyAlignment="1" applyProtection="1"/>
    <xf numFmtId="0" fontId="30" fillId="0" borderId="0" xfId="0" applyFont="1" applyAlignment="1" applyProtection="1">
      <alignment horizontal="left"/>
    </xf>
    <xf numFmtId="0" fontId="30" fillId="0" borderId="0" xfId="0" quotePrefix="1" applyFont="1" applyAlignment="1" applyProtection="1">
      <alignment horizontal="left" vertical="center"/>
    </xf>
    <xf numFmtId="0" fontId="20" fillId="0" borderId="80" xfId="0" applyFont="1" applyFill="1" applyBorder="1" applyAlignment="1">
      <alignment horizontal="center" vertical="center" shrinkToFit="1"/>
    </xf>
    <xf numFmtId="0" fontId="20" fillId="0" borderId="20" xfId="0" applyFont="1" applyFill="1" applyBorder="1" applyAlignment="1">
      <alignment horizontal="left" vertical="center" shrinkToFit="1"/>
    </xf>
    <xf numFmtId="0" fontId="20" fillId="0" borderId="20" xfId="0" applyFont="1" applyFill="1" applyBorder="1" applyAlignment="1">
      <alignment horizontal="center" vertical="center" shrinkToFit="1"/>
    </xf>
    <xf numFmtId="0" fontId="20" fillId="0" borderId="17" xfId="0" applyFont="1" applyFill="1" applyBorder="1" applyAlignment="1">
      <alignment horizontal="center" vertical="center" shrinkToFit="1"/>
    </xf>
    <xf numFmtId="0" fontId="27" fillId="0" borderId="29" xfId="0" applyFont="1" applyFill="1" applyBorder="1" applyAlignment="1" applyProtection="1">
      <alignment horizontal="left" vertical="center" shrinkToFit="1"/>
      <protection locked="0"/>
    </xf>
    <xf numFmtId="0" fontId="27" fillId="0" borderId="4" xfId="0" applyFont="1" applyFill="1" applyBorder="1" applyAlignment="1" applyProtection="1">
      <alignment horizontal="left" vertical="center" shrinkToFit="1"/>
      <protection locked="0"/>
    </xf>
    <xf numFmtId="0" fontId="20" fillId="0" borderId="30" xfId="0" applyFont="1" applyFill="1" applyBorder="1" applyAlignment="1" applyProtection="1">
      <alignment horizontal="left" vertical="center" shrinkToFit="1"/>
      <protection locked="0"/>
    </xf>
    <xf numFmtId="0" fontId="22" fillId="0" borderId="33" xfId="0" applyFont="1" applyFill="1" applyBorder="1" applyAlignment="1">
      <alignment horizontal="center" vertical="center" shrinkToFit="1"/>
    </xf>
    <xf numFmtId="0" fontId="22" fillId="0" borderId="35" xfId="0" applyFont="1" applyFill="1" applyBorder="1" applyAlignment="1">
      <alignment horizontal="center" vertical="center" shrinkToFit="1"/>
    </xf>
    <xf numFmtId="0" fontId="20" fillId="0" borderId="80" xfId="0" applyFont="1" applyFill="1" applyBorder="1" applyAlignment="1">
      <alignment horizontal="left" vertical="center" shrinkToFit="1"/>
    </xf>
    <xf numFmtId="0" fontId="20" fillId="0" borderId="81" xfId="0" applyFont="1" applyFill="1" applyBorder="1" applyAlignment="1">
      <alignment horizontal="left" vertical="center" shrinkToFit="1"/>
    </xf>
    <xf numFmtId="0" fontId="20" fillId="0" borderId="57" xfId="0" applyFont="1" applyFill="1" applyBorder="1" applyAlignment="1">
      <alignment horizontal="left" vertical="center" shrinkToFit="1"/>
    </xf>
    <xf numFmtId="0" fontId="27" fillId="0" borderId="33" xfId="0" applyFont="1" applyFill="1" applyBorder="1" applyAlignment="1">
      <alignment horizontal="left" vertical="center" shrinkToFit="1"/>
    </xf>
    <xf numFmtId="0" fontId="27" fillId="0" borderId="34" xfId="0" applyFont="1" applyFill="1" applyBorder="1" applyAlignment="1">
      <alignment horizontal="left" vertical="center" shrinkToFit="1"/>
    </xf>
    <xf numFmtId="0" fontId="27" fillId="0" borderId="35" xfId="0" applyFont="1" applyFill="1" applyBorder="1" applyAlignment="1">
      <alignment horizontal="left" vertical="center" shrinkToFit="1"/>
    </xf>
    <xf numFmtId="0" fontId="27" fillId="0" borderId="56" xfId="0" applyFont="1" applyFill="1" applyBorder="1" applyAlignment="1" applyProtection="1">
      <alignment horizontal="center" vertical="center" shrinkToFit="1"/>
      <protection locked="0"/>
    </xf>
    <xf numFmtId="0" fontId="27" fillId="0" borderId="29" xfId="0" applyFont="1" applyFill="1" applyBorder="1" applyAlignment="1" applyProtection="1">
      <alignment horizontal="center" vertical="center" shrinkToFit="1"/>
      <protection locked="0"/>
    </xf>
    <xf numFmtId="178" fontId="20" fillId="0" borderId="30" xfId="0" applyNumberFormat="1" applyFont="1" applyFill="1" applyBorder="1" applyAlignment="1" applyProtection="1">
      <alignment horizontal="center" vertical="center" shrinkToFit="1"/>
      <protection locked="0"/>
    </xf>
    <xf numFmtId="0" fontId="20" fillId="0" borderId="24" xfId="0" applyFont="1" applyFill="1" applyBorder="1" applyAlignment="1" applyProtection="1">
      <alignment horizontal="center" vertical="center" shrinkToFit="1"/>
      <protection locked="0"/>
    </xf>
    <xf numFmtId="0" fontId="20" fillId="0" borderId="30" xfId="0" applyFont="1" applyFill="1" applyBorder="1" applyAlignment="1" applyProtection="1">
      <alignment horizontal="center" vertical="center" shrinkToFit="1"/>
      <protection locked="0"/>
    </xf>
    <xf numFmtId="0" fontId="23" fillId="0" borderId="24" xfId="0" applyFont="1" applyFill="1" applyBorder="1" applyAlignment="1" applyProtection="1">
      <alignment horizontal="left" vertical="center" shrinkToFit="1"/>
      <protection locked="0"/>
    </xf>
    <xf numFmtId="0" fontId="23" fillId="0" borderId="30" xfId="0" applyFont="1" applyFill="1" applyBorder="1" applyAlignment="1" applyProtection="1">
      <alignment horizontal="left" vertical="center" shrinkToFit="1"/>
      <protection locked="0"/>
    </xf>
    <xf numFmtId="0" fontId="23" fillId="0" borderId="6" xfId="0" applyFont="1" applyFill="1" applyBorder="1" applyAlignment="1" applyProtection="1">
      <alignment horizontal="left" vertical="center" shrinkToFit="1"/>
      <protection locked="0"/>
    </xf>
    <xf numFmtId="0" fontId="23" fillId="0" borderId="56" xfId="0" applyFont="1" applyFill="1" applyBorder="1" applyAlignment="1" applyProtection="1">
      <alignment horizontal="left" vertical="center" shrinkToFit="1"/>
      <protection locked="0"/>
    </xf>
    <xf numFmtId="0" fontId="23" fillId="0" borderId="29" xfId="0" applyFont="1" applyFill="1" applyBorder="1" applyAlignment="1" applyProtection="1">
      <alignment horizontal="left" vertical="center" shrinkToFit="1"/>
      <protection locked="0"/>
    </xf>
    <xf numFmtId="0" fontId="23" fillId="0" borderId="4" xfId="0" applyFont="1" applyFill="1" applyBorder="1" applyAlignment="1" applyProtection="1">
      <alignment horizontal="left" vertical="center" shrinkToFit="1"/>
      <protection locked="0"/>
    </xf>
    <xf numFmtId="0" fontId="27" fillId="0" borderId="68" xfId="0" applyFont="1" applyFill="1" applyBorder="1" applyAlignment="1">
      <alignment horizontal="left" vertical="center" shrinkToFit="1"/>
    </xf>
    <xf numFmtId="0" fontId="26" fillId="3" borderId="31" xfId="0" applyFont="1" applyFill="1" applyBorder="1" applyAlignment="1" applyProtection="1">
      <alignment horizontal="center" vertical="center" shrinkToFit="1"/>
      <protection locked="0"/>
    </xf>
    <xf numFmtId="0" fontId="26" fillId="3" borderId="44" xfId="0" applyFont="1" applyFill="1" applyBorder="1" applyAlignment="1" applyProtection="1">
      <alignment horizontal="center" vertical="center" shrinkToFit="1"/>
      <protection locked="0"/>
    </xf>
    <xf numFmtId="0" fontId="27" fillId="0" borderId="64" xfId="0" applyFont="1" applyFill="1" applyBorder="1" applyAlignment="1" applyProtection="1">
      <alignment horizontal="center" vertical="center" shrinkToFit="1"/>
      <protection locked="0"/>
    </xf>
    <xf numFmtId="0" fontId="27" fillId="0" borderId="34" xfId="0" applyFont="1" applyFill="1" applyBorder="1" applyAlignment="1" applyProtection="1">
      <alignment horizontal="center" vertical="center" shrinkToFit="1"/>
      <protection locked="0"/>
    </xf>
    <xf numFmtId="0" fontId="27" fillId="0" borderId="35" xfId="0" applyFont="1" applyFill="1" applyBorder="1" applyAlignment="1" applyProtection="1">
      <alignment horizontal="center" vertical="center" shrinkToFit="1"/>
      <protection locked="0"/>
    </xf>
    <xf numFmtId="178" fontId="20" fillId="0" borderId="24" xfId="0" applyNumberFormat="1" applyFont="1" applyFill="1" applyBorder="1" applyAlignment="1">
      <alignment horizontal="center" vertical="center" shrinkToFit="1"/>
    </xf>
    <xf numFmtId="178" fontId="20" fillId="0" borderId="44" xfId="0" applyNumberFormat="1" applyFont="1" applyFill="1" applyBorder="1" applyAlignment="1">
      <alignment horizontal="center" vertical="center" shrinkToFit="1"/>
    </xf>
    <xf numFmtId="0" fontId="20" fillId="0" borderId="6" xfId="0" applyFont="1" applyFill="1" applyBorder="1" applyAlignment="1" applyProtection="1">
      <alignment horizontal="center" vertical="center" shrinkToFit="1"/>
      <protection locked="0"/>
    </xf>
    <xf numFmtId="0" fontId="25" fillId="0" borderId="38" xfId="0" applyFont="1" applyFill="1" applyBorder="1" applyAlignment="1" applyProtection="1">
      <alignment horizontal="center" vertical="center" shrinkToFit="1"/>
      <protection locked="0"/>
    </xf>
    <xf numFmtId="0" fontId="25" fillId="0" borderId="2" xfId="0" applyFont="1" applyFill="1" applyBorder="1" applyAlignment="1" applyProtection="1">
      <alignment horizontal="center" vertical="center" shrinkToFit="1"/>
      <protection locked="0"/>
    </xf>
    <xf numFmtId="0" fontId="25" fillId="0" borderId="79" xfId="0" applyFont="1" applyFill="1" applyBorder="1" applyAlignment="1" applyProtection="1">
      <alignment horizontal="center" vertical="center" shrinkToFit="1"/>
      <protection locked="0"/>
    </xf>
    <xf numFmtId="0" fontId="25" fillId="0" borderId="56" xfId="0" applyFont="1" applyFill="1" applyBorder="1" applyAlignment="1" applyProtection="1">
      <alignment horizontal="center" vertical="center" shrinkToFit="1"/>
      <protection locked="0"/>
    </xf>
    <xf numFmtId="0" fontId="25" fillId="0" borderId="29" xfId="0" applyFont="1" applyFill="1" applyBorder="1" applyAlignment="1" applyProtection="1">
      <alignment horizontal="center" vertical="center" shrinkToFit="1"/>
      <protection locked="0"/>
    </xf>
    <xf numFmtId="0" fontId="25" fillId="0" borderId="4" xfId="0" applyFont="1" applyFill="1" applyBorder="1" applyAlignment="1" applyProtection="1">
      <alignment horizontal="center" vertical="center" shrinkToFit="1"/>
      <protection locked="0"/>
    </xf>
    <xf numFmtId="0" fontId="23" fillId="0" borderId="45" xfId="0" applyFont="1" applyBorder="1" applyAlignment="1">
      <alignment horizontal="center" vertical="center" shrinkToFit="1"/>
    </xf>
    <xf numFmtId="0" fontId="23" fillId="0" borderId="10" xfId="0" applyFont="1" applyBorder="1" applyAlignment="1">
      <alignment horizontal="center" vertical="center" shrinkToFit="1"/>
    </xf>
    <xf numFmtId="0" fontId="23" fillId="0" borderId="39" xfId="0" applyFont="1" applyBorder="1" applyAlignment="1">
      <alignment horizontal="center" vertical="center" shrinkToFit="1"/>
    </xf>
    <xf numFmtId="0" fontId="19" fillId="0" borderId="45" xfId="0" applyFont="1" applyBorder="1" applyAlignment="1">
      <alignment horizontal="center" vertical="center" shrinkToFit="1"/>
    </xf>
    <xf numFmtId="0" fontId="19" fillId="0" borderId="46" xfId="0" applyFont="1" applyBorder="1" applyAlignment="1">
      <alignment horizontal="center" vertical="center" shrinkToFit="1"/>
    </xf>
    <xf numFmtId="0" fontId="21" fillId="0" borderId="40" xfId="0" applyFont="1" applyBorder="1" applyAlignment="1">
      <alignment horizontal="center" vertical="center" shrinkToFit="1"/>
    </xf>
    <xf numFmtId="0" fontId="21" fillId="0" borderId="19" xfId="0" applyFont="1" applyBorder="1" applyAlignment="1">
      <alignment horizontal="center" vertical="center" shrinkToFit="1"/>
    </xf>
    <xf numFmtId="0" fontId="21" fillId="0" borderId="8" xfId="0" applyFont="1" applyBorder="1" applyAlignment="1">
      <alignment horizontal="center" vertical="center" shrinkToFit="1"/>
    </xf>
    <xf numFmtId="0" fontId="26" fillId="3" borderId="37" xfId="0" applyFont="1" applyFill="1" applyBorder="1" applyAlignment="1" applyProtection="1">
      <alignment horizontal="center" vertical="center" shrinkToFit="1"/>
      <protection locked="0"/>
    </xf>
    <xf numFmtId="0" fontId="26" fillId="3" borderId="53" xfId="0" applyFont="1" applyFill="1" applyBorder="1" applyAlignment="1" applyProtection="1">
      <alignment horizontal="center" vertical="center" shrinkToFit="1"/>
      <protection locked="0"/>
    </xf>
    <xf numFmtId="0" fontId="27" fillId="0" borderId="65" xfId="0" applyFont="1" applyFill="1" applyBorder="1" applyAlignment="1" applyProtection="1">
      <alignment horizontal="center" vertical="center" shrinkToFit="1"/>
      <protection locked="0"/>
    </xf>
    <xf numFmtId="0" fontId="27" fillId="0" borderId="67" xfId="0" applyFont="1" applyFill="1" applyBorder="1" applyAlignment="1" applyProtection="1">
      <alignment horizontal="center" vertical="center" shrinkToFit="1"/>
      <protection locked="0"/>
    </xf>
    <xf numFmtId="0" fontId="27" fillId="0" borderId="66" xfId="0" applyFont="1" applyFill="1" applyBorder="1" applyAlignment="1" applyProtection="1">
      <alignment horizontal="center" vertical="center" shrinkToFit="1"/>
      <protection locked="0"/>
    </xf>
    <xf numFmtId="24" fontId="24" fillId="0" borderId="38" xfId="0" applyNumberFormat="1" applyFont="1" applyBorder="1" applyAlignment="1" applyProtection="1">
      <alignment horizontal="center" vertical="center" shrinkToFit="1"/>
      <protection locked="0"/>
    </xf>
    <xf numFmtId="24" fontId="24" fillId="0" borderId="2" xfId="0" applyNumberFormat="1" applyFont="1" applyBorder="1" applyAlignment="1" applyProtection="1">
      <alignment horizontal="center" vertical="center" shrinkToFit="1"/>
      <protection locked="0"/>
    </xf>
    <xf numFmtId="24" fontId="24" fillId="0" borderId="54" xfId="0" applyNumberFormat="1" applyFont="1" applyBorder="1" applyAlignment="1" applyProtection="1">
      <alignment horizontal="center" vertical="center" shrinkToFit="1"/>
      <protection locked="0"/>
    </xf>
    <xf numFmtId="24" fontId="24" fillId="0" borderId="3" xfId="0" applyNumberFormat="1" applyFont="1" applyBorder="1" applyAlignment="1" applyProtection="1">
      <alignment horizontal="center" vertical="center" shrinkToFit="1"/>
      <protection locked="0"/>
    </xf>
    <xf numFmtId="178" fontId="20" fillId="0" borderId="38" xfId="0" applyNumberFormat="1" applyFont="1" applyFill="1" applyBorder="1" applyAlignment="1">
      <alignment horizontal="center" vertical="center" shrinkToFit="1"/>
    </xf>
    <xf numFmtId="178" fontId="20" fillId="0" borderId="53" xfId="0" applyNumberFormat="1" applyFont="1" applyFill="1" applyBorder="1" applyAlignment="1">
      <alignment horizontal="center" vertical="center" shrinkToFit="1"/>
    </xf>
    <xf numFmtId="0" fontId="27" fillId="0" borderId="24" xfId="0" applyFont="1" applyFill="1" applyBorder="1" applyAlignment="1">
      <alignment horizontal="center" vertical="center" shrinkToFit="1"/>
    </xf>
    <xf numFmtId="0" fontId="27" fillId="0" borderId="30" xfId="0" applyFont="1" applyFill="1" applyBorder="1" applyAlignment="1">
      <alignment horizontal="center" vertical="center" shrinkToFit="1"/>
    </xf>
    <xf numFmtId="0" fontId="27" fillId="0" borderId="6" xfId="0" applyFont="1" applyFill="1" applyBorder="1" applyAlignment="1">
      <alignment horizontal="center" vertical="center" shrinkToFit="1"/>
    </xf>
    <xf numFmtId="0" fontId="27" fillId="0" borderId="25" xfId="0" applyFont="1" applyFill="1" applyBorder="1" applyAlignment="1">
      <alignment horizontal="center" vertical="center" shrinkToFit="1"/>
    </xf>
    <xf numFmtId="0" fontId="27" fillId="0" borderId="0" xfId="0" applyFont="1" applyFill="1" applyBorder="1" applyAlignment="1">
      <alignment horizontal="center" vertical="center" shrinkToFit="1"/>
    </xf>
    <xf numFmtId="0" fontId="27" fillId="0" borderId="9" xfId="0" applyFont="1" applyFill="1" applyBorder="1" applyAlignment="1">
      <alignment horizontal="center" vertical="center" shrinkToFit="1"/>
    </xf>
    <xf numFmtId="0" fontId="27" fillId="0" borderId="56" xfId="0" applyFont="1" applyFill="1" applyBorder="1" applyAlignment="1">
      <alignment horizontal="center" vertical="center" shrinkToFit="1"/>
    </xf>
    <xf numFmtId="0" fontId="27" fillId="0" borderId="29" xfId="0" applyFont="1" applyFill="1" applyBorder="1" applyAlignment="1">
      <alignment horizontal="center" vertical="center" shrinkToFit="1"/>
    </xf>
    <xf numFmtId="0" fontId="27" fillId="0" borderId="4" xfId="0" applyFont="1" applyFill="1" applyBorder="1" applyAlignment="1">
      <alignment horizontal="center" vertical="center" shrinkToFit="1"/>
    </xf>
    <xf numFmtId="0" fontId="21" fillId="0" borderId="41" xfId="0" applyFont="1" applyBorder="1" applyAlignment="1">
      <alignment horizontal="center" vertical="center" shrinkToFit="1"/>
    </xf>
    <xf numFmtId="0" fontId="21" fillId="0" borderId="30" xfId="0" applyFont="1" applyBorder="1" applyAlignment="1">
      <alignment horizontal="center" vertical="center" shrinkToFit="1"/>
    </xf>
    <xf numFmtId="0" fontId="21" fillId="0" borderId="7" xfId="0" applyFont="1" applyBorder="1" applyAlignment="1">
      <alignment horizontal="center" vertical="center" shrinkToFit="1"/>
    </xf>
    <xf numFmtId="0" fontId="22" fillId="0" borderId="29" xfId="0" applyFont="1" applyFill="1" applyBorder="1" applyAlignment="1" applyProtection="1">
      <alignment horizontal="center" vertical="center" shrinkToFit="1"/>
      <protection locked="0"/>
    </xf>
    <xf numFmtId="0" fontId="20" fillId="0" borderId="87" xfId="0" applyFont="1" applyFill="1" applyBorder="1" applyAlignment="1">
      <alignment horizontal="left" vertical="center" shrinkToFit="1"/>
    </xf>
    <xf numFmtId="0" fontId="27" fillId="0" borderId="67" xfId="0" applyFont="1" applyFill="1" applyBorder="1" applyAlignment="1">
      <alignment horizontal="left" vertical="center" shrinkToFit="1"/>
    </xf>
    <xf numFmtId="0" fontId="26" fillId="3" borderId="83" xfId="0" applyFont="1" applyFill="1" applyBorder="1" applyAlignment="1" applyProtection="1">
      <alignment horizontal="center" vertical="center" shrinkToFit="1"/>
      <protection locked="0"/>
    </xf>
    <xf numFmtId="0" fontId="26" fillId="3" borderId="82" xfId="0" applyFont="1" applyFill="1" applyBorder="1" applyAlignment="1" applyProtection="1">
      <alignment horizontal="center" vertical="center" shrinkToFit="1"/>
      <protection locked="0"/>
    </xf>
    <xf numFmtId="178" fontId="20" fillId="0" borderId="73" xfId="0" applyNumberFormat="1" applyFont="1" applyFill="1" applyBorder="1" applyAlignment="1">
      <alignment horizontal="center" vertical="center" shrinkToFit="1"/>
    </xf>
    <xf numFmtId="178" fontId="20" fillId="0" borderId="82" xfId="0" applyNumberFormat="1" applyFont="1" applyFill="1" applyBorder="1" applyAlignment="1">
      <alignment horizontal="center" vertical="center" shrinkToFit="1"/>
    </xf>
    <xf numFmtId="0" fontId="27" fillId="0" borderId="64" xfId="0" applyFont="1" applyFill="1" applyBorder="1" applyAlignment="1">
      <alignment horizontal="center" vertical="center" shrinkToFit="1"/>
    </xf>
    <xf numFmtId="0" fontId="27" fillId="0" borderId="34" xfId="0" applyFont="1" applyFill="1" applyBorder="1" applyAlignment="1">
      <alignment horizontal="center" vertical="center" shrinkToFit="1"/>
    </xf>
    <xf numFmtId="0" fontId="27" fillId="0" borderId="35" xfId="0" applyFont="1" applyFill="1" applyBorder="1" applyAlignment="1">
      <alignment horizontal="center" vertical="center" shrinkToFit="1"/>
    </xf>
    <xf numFmtId="0" fontId="26" fillId="3" borderId="61" xfId="0" applyFont="1" applyFill="1" applyBorder="1" applyAlignment="1" applyProtection="1">
      <alignment horizontal="center" vertical="center" shrinkToFit="1"/>
      <protection locked="0"/>
    </xf>
    <xf numFmtId="0" fontId="26" fillId="3" borderId="57" xfId="0" applyFont="1" applyFill="1" applyBorder="1" applyAlignment="1" applyProtection="1">
      <alignment horizontal="center" vertical="center" shrinkToFit="1"/>
      <protection locked="0"/>
    </xf>
    <xf numFmtId="0" fontId="23" fillId="0" borderId="73" xfId="0" applyNumberFormat="1" applyFont="1" applyBorder="1" applyAlignment="1" applyProtection="1">
      <alignment horizontal="center" vertical="center" shrinkToFit="1"/>
      <protection locked="0"/>
    </xf>
    <xf numFmtId="0" fontId="23" fillId="0" borderId="74" xfId="0" applyNumberFormat="1" applyFont="1" applyBorder="1" applyAlignment="1" applyProtection="1">
      <alignment horizontal="center" vertical="center" shrinkToFit="1"/>
      <protection locked="0"/>
    </xf>
    <xf numFmtId="0" fontId="19" fillId="0" borderId="72" xfId="0" applyNumberFormat="1" applyFont="1" applyBorder="1" applyAlignment="1" applyProtection="1">
      <alignment horizontal="center" vertical="center" shrinkToFit="1"/>
      <protection locked="0"/>
    </xf>
    <xf numFmtId="0" fontId="19" fillId="0" borderId="71" xfId="0" applyNumberFormat="1" applyFont="1" applyBorder="1" applyAlignment="1" applyProtection="1">
      <alignment horizontal="center" vertical="center" shrinkToFit="1"/>
      <protection locked="0"/>
    </xf>
    <xf numFmtId="0" fontId="20" fillId="0" borderId="38" xfId="0" applyFont="1" applyFill="1" applyBorder="1" applyAlignment="1" applyProtection="1">
      <alignment horizontal="center" vertical="center" shrinkToFit="1"/>
      <protection locked="0"/>
    </xf>
    <xf numFmtId="0" fontId="20" fillId="0" borderId="2" xfId="0" applyFont="1" applyFill="1" applyBorder="1" applyAlignment="1" applyProtection="1">
      <alignment horizontal="center" vertical="center" shrinkToFit="1"/>
      <protection locked="0"/>
    </xf>
    <xf numFmtId="178" fontId="20" fillId="0" borderId="2" xfId="0" applyNumberFormat="1" applyFont="1" applyFill="1" applyBorder="1" applyAlignment="1" applyProtection="1">
      <alignment horizontal="center" vertical="center" shrinkToFit="1"/>
      <protection locked="0"/>
    </xf>
    <xf numFmtId="0" fontId="20" fillId="0" borderId="2" xfId="0" applyFont="1" applyFill="1" applyBorder="1" applyAlignment="1" applyProtection="1">
      <alignment horizontal="left" vertical="center" shrinkToFit="1"/>
      <protection locked="0"/>
    </xf>
    <xf numFmtId="0" fontId="19" fillId="0" borderId="10" xfId="0" applyFont="1" applyBorder="1" applyAlignment="1">
      <alignment horizontal="center" vertical="center" shrinkToFit="1"/>
    </xf>
    <xf numFmtId="0" fontId="21" fillId="0" borderId="40" xfId="0" applyFont="1" applyBorder="1" applyAlignment="1" applyProtection="1">
      <alignment horizontal="center" vertical="center" shrinkToFit="1"/>
      <protection locked="0"/>
    </xf>
    <xf numFmtId="0" fontId="21" fillId="0" borderId="19" xfId="0" applyFont="1" applyBorder="1" applyAlignment="1" applyProtection="1">
      <alignment horizontal="center" vertical="center" shrinkToFit="1"/>
      <protection locked="0"/>
    </xf>
    <xf numFmtId="0" fontId="21" fillId="0" borderId="7" xfId="0" applyFont="1" applyBorder="1" applyAlignment="1" applyProtection="1">
      <alignment horizontal="center" vertical="center" shrinkToFit="1"/>
      <protection locked="0"/>
    </xf>
    <xf numFmtId="0" fontId="20" fillId="0" borderId="24" xfId="0" applyFont="1" applyFill="1" applyBorder="1" applyAlignment="1" applyProtection="1">
      <alignment horizontal="left" vertical="center" shrinkToFit="1"/>
      <protection locked="0"/>
    </xf>
    <xf numFmtId="0" fontId="20" fillId="0" borderId="6" xfId="0" applyFont="1" applyFill="1" applyBorder="1" applyAlignment="1" applyProtection="1">
      <alignment horizontal="left" vertical="center" shrinkToFit="1"/>
      <protection locked="0"/>
    </xf>
    <xf numFmtId="0" fontId="20" fillId="0" borderId="56" xfId="0" applyFont="1" applyFill="1" applyBorder="1" applyAlignment="1" applyProtection="1">
      <alignment horizontal="left" vertical="center" shrinkToFit="1"/>
      <protection locked="0"/>
    </xf>
    <xf numFmtId="0" fontId="20" fillId="0" borderId="29" xfId="0" applyFont="1" applyFill="1" applyBorder="1" applyAlignment="1" applyProtection="1">
      <alignment horizontal="left" vertical="center" shrinkToFit="1"/>
      <protection locked="0"/>
    </xf>
    <xf numFmtId="0" fontId="20" fillId="0" borderId="4" xfId="0" applyFont="1" applyFill="1" applyBorder="1" applyAlignment="1" applyProtection="1">
      <alignment horizontal="left" vertical="center" shrinkToFit="1"/>
      <protection locked="0"/>
    </xf>
    <xf numFmtId="0" fontId="21" fillId="0" borderId="23" xfId="0" applyFont="1" applyBorder="1" applyAlignment="1" applyProtection="1">
      <alignment horizontal="center" vertical="center" shrinkToFit="1"/>
      <protection locked="0"/>
    </xf>
    <xf numFmtId="49" fontId="21" fillId="0" borderId="47" xfId="0" applyNumberFormat="1" applyFont="1" applyBorder="1" applyAlignment="1" applyProtection="1">
      <alignment horizontal="center" vertical="center" shrinkToFit="1"/>
      <protection locked="0"/>
    </xf>
    <xf numFmtId="0" fontId="22" fillId="0" borderId="37" xfId="0" applyFont="1" applyBorder="1" applyAlignment="1">
      <alignment horizontal="center" vertical="center" shrinkToFit="1"/>
    </xf>
    <xf numFmtId="0" fontId="22" fillId="0" borderId="53" xfId="0" applyFont="1" applyBorder="1" applyAlignment="1">
      <alignment horizontal="center" vertical="center" shrinkToFit="1"/>
    </xf>
    <xf numFmtId="0" fontId="22" fillId="0" borderId="14" xfId="0" applyFont="1" applyBorder="1" applyAlignment="1">
      <alignment horizontal="center" vertical="center" shrinkToFit="1"/>
    </xf>
    <xf numFmtId="0" fontId="22" fillId="0" borderId="55" xfId="0" applyFont="1" applyBorder="1" applyAlignment="1">
      <alignment horizontal="center" vertical="center" shrinkToFit="1"/>
    </xf>
    <xf numFmtId="178" fontId="20" fillId="0" borderId="80" xfId="0" applyNumberFormat="1" applyFont="1" applyFill="1" applyBorder="1" applyAlignment="1">
      <alignment horizontal="center" vertical="center" shrinkToFit="1"/>
    </xf>
    <xf numFmtId="178" fontId="20" fillId="0" borderId="57" xfId="0" applyNumberFormat="1" applyFont="1" applyFill="1" applyBorder="1" applyAlignment="1">
      <alignment horizontal="center" vertical="center" shrinkToFit="1"/>
    </xf>
    <xf numFmtId="14" fontId="22" fillId="0" borderId="49" xfId="0" applyNumberFormat="1" applyFont="1" applyBorder="1" applyAlignment="1">
      <alignment horizontal="center" vertical="center" shrinkToFit="1"/>
    </xf>
    <xf numFmtId="14" fontId="22" fillId="0" borderId="50" xfId="0" applyNumberFormat="1" applyFont="1" applyBorder="1" applyAlignment="1">
      <alignment horizontal="center" vertical="center" shrinkToFit="1"/>
    </xf>
    <xf numFmtId="14" fontId="22" fillId="0" borderId="51" xfId="0" applyNumberFormat="1" applyFont="1" applyBorder="1" applyAlignment="1">
      <alignment horizontal="center" vertical="center" shrinkToFit="1"/>
    </xf>
    <xf numFmtId="0" fontId="19" fillId="0" borderId="48" xfId="0" applyFont="1" applyBorder="1" applyAlignment="1">
      <alignment horizontal="center" vertical="center" shrinkToFit="1"/>
    </xf>
    <xf numFmtId="0" fontId="20" fillId="0" borderId="79" xfId="0" applyFont="1" applyFill="1" applyBorder="1" applyAlignment="1" applyProtection="1">
      <alignment horizontal="center" vertical="center" shrinkToFit="1"/>
      <protection locked="0"/>
    </xf>
    <xf numFmtId="0" fontId="22" fillId="0" borderId="27" xfId="0" applyFont="1" applyBorder="1" applyAlignment="1">
      <alignment horizontal="center" vertical="center" shrinkToFit="1"/>
    </xf>
    <xf numFmtId="0" fontId="22" fillId="0" borderId="51" xfId="0" applyFont="1" applyBorder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0" fontId="19" fillId="0" borderId="52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 shrinkToFit="1"/>
    </xf>
    <xf numFmtId="0" fontId="20" fillId="0" borderId="38" xfId="0" applyFont="1" applyBorder="1" applyAlignment="1">
      <alignment horizontal="center" vertical="center" shrinkToFit="1"/>
    </xf>
    <xf numFmtId="0" fontId="20" fillId="0" borderId="53" xfId="0" applyFont="1" applyBorder="1" applyAlignment="1">
      <alignment horizontal="center" vertical="center" shrinkToFit="1"/>
    </xf>
    <xf numFmtId="0" fontId="20" fillId="0" borderId="54" xfId="0" applyFont="1" applyBorder="1" applyAlignment="1">
      <alignment horizontal="center" vertical="center" shrinkToFit="1"/>
    </xf>
    <xf numFmtId="0" fontId="20" fillId="0" borderId="55" xfId="0" applyFont="1" applyBorder="1" applyAlignment="1">
      <alignment horizontal="center" vertical="center" shrinkToFit="1"/>
    </xf>
    <xf numFmtId="176" fontId="21" fillId="0" borderId="19" xfId="0" applyNumberFormat="1" applyFont="1" applyBorder="1" applyAlignment="1">
      <alignment horizontal="center" vertical="center" shrinkToFit="1"/>
    </xf>
    <xf numFmtId="176" fontId="21" fillId="0" borderId="7" xfId="0" applyNumberFormat="1" applyFont="1" applyBorder="1" applyAlignment="1">
      <alignment horizontal="center" vertical="center" shrinkToFit="1"/>
    </xf>
    <xf numFmtId="0" fontId="19" fillId="0" borderId="58" xfId="0" applyFont="1" applyBorder="1" applyAlignment="1">
      <alignment horizontal="center" vertical="center" shrinkToFit="1"/>
    </xf>
    <xf numFmtId="14" fontId="21" fillId="0" borderId="30" xfId="0" applyNumberFormat="1" applyFont="1" applyBorder="1" applyAlignment="1">
      <alignment horizontal="center" vertical="center" shrinkToFit="1"/>
    </xf>
    <xf numFmtId="0" fontId="21" fillId="0" borderId="5" xfId="0" applyFont="1" applyBorder="1" applyAlignment="1">
      <alignment horizontal="center" vertical="center" shrinkToFit="1"/>
    </xf>
    <xf numFmtId="0" fontId="21" fillId="0" borderId="42" xfId="0" applyFont="1" applyBorder="1" applyAlignment="1">
      <alignment horizontal="center" vertical="center" shrinkToFit="1"/>
    </xf>
    <xf numFmtId="0" fontId="21" fillId="0" borderId="43" xfId="0" applyFont="1" applyBorder="1" applyAlignment="1">
      <alignment horizontal="center" vertical="center" shrinkToFit="1"/>
    </xf>
    <xf numFmtId="0" fontId="21" fillId="0" borderId="47" xfId="0" applyFont="1" applyBorder="1" applyAlignment="1">
      <alignment horizontal="center" vertical="center" shrinkToFit="1"/>
    </xf>
    <xf numFmtId="176" fontId="21" fillId="0" borderId="47" xfId="0" applyNumberFormat="1" applyFont="1" applyBorder="1" applyAlignment="1">
      <alignment horizontal="center" vertical="center" shrinkToFit="1"/>
    </xf>
    <xf numFmtId="14" fontId="25" fillId="0" borderId="23" xfId="0" applyNumberFormat="1" applyFont="1" applyBorder="1" applyAlignment="1" applyProtection="1">
      <alignment horizontal="center" vertical="center" shrinkToFit="1"/>
      <protection locked="0"/>
    </xf>
    <xf numFmtId="0" fontId="25" fillId="0" borderId="19" xfId="0" applyFont="1" applyBorder="1" applyAlignment="1" applyProtection="1">
      <alignment horizontal="center" vertical="center" shrinkToFit="1"/>
      <protection locked="0"/>
    </xf>
    <xf numFmtId="0" fontId="25" fillId="0" borderId="36" xfId="0" applyFont="1" applyBorder="1" applyAlignment="1" applyProtection="1">
      <alignment horizontal="center" vertical="center" shrinkToFit="1"/>
      <protection locked="0"/>
    </xf>
    <xf numFmtId="0" fontId="27" fillId="0" borderId="84" xfId="0" applyFont="1" applyFill="1" applyBorder="1" applyAlignment="1">
      <alignment horizontal="center" vertical="center" shrinkToFit="1"/>
    </xf>
    <xf numFmtId="0" fontId="27" fillId="0" borderId="85" xfId="0" applyFont="1" applyFill="1" applyBorder="1" applyAlignment="1">
      <alignment horizontal="center" vertical="center" shrinkToFit="1"/>
    </xf>
    <xf numFmtId="0" fontId="27" fillId="0" borderId="86" xfId="0" applyFont="1" applyFill="1" applyBorder="1" applyAlignment="1">
      <alignment horizontal="center" vertical="center" shrinkToFit="1"/>
    </xf>
    <xf numFmtId="0" fontId="23" fillId="0" borderId="37" xfId="0" applyFont="1" applyBorder="1" applyAlignment="1">
      <alignment horizontal="center" vertical="center" shrinkToFit="1"/>
    </xf>
    <xf numFmtId="0" fontId="23" fillId="0" borderId="2" xfId="0" applyFont="1" applyBorder="1" applyAlignment="1">
      <alignment horizontal="center" vertical="center" shrinkToFit="1"/>
    </xf>
    <xf numFmtId="0" fontId="25" fillId="0" borderId="22" xfId="0" applyFont="1" applyBorder="1" applyAlignment="1" applyProtection="1">
      <alignment horizontal="center" vertical="center" shrinkToFit="1"/>
      <protection locked="0"/>
    </xf>
    <xf numFmtId="0" fontId="25" fillId="0" borderId="22" xfId="0" applyNumberFormat="1" applyFont="1" applyFill="1" applyBorder="1" applyAlignment="1" applyProtection="1">
      <alignment horizontal="center" vertical="center" shrinkToFit="1"/>
      <protection locked="0"/>
    </xf>
    <xf numFmtId="0" fontId="27" fillId="0" borderId="72" xfId="0" applyFont="1" applyFill="1" applyBorder="1" applyAlignment="1">
      <alignment horizontal="left" vertical="center" shrinkToFit="1"/>
    </xf>
    <xf numFmtId="0" fontId="27" fillId="0" borderId="85" xfId="0" applyFont="1" applyFill="1" applyBorder="1" applyAlignment="1">
      <alignment horizontal="left" vertical="center" shrinkToFit="1"/>
    </xf>
    <xf numFmtId="0" fontId="27" fillId="0" borderId="86" xfId="0" applyFont="1" applyFill="1" applyBorder="1" applyAlignment="1">
      <alignment horizontal="left" vertical="center" shrinkToFit="1"/>
    </xf>
    <xf numFmtId="0" fontId="27" fillId="0" borderId="54" xfId="0" applyFont="1" applyFill="1" applyBorder="1" applyAlignment="1" applyProtection="1">
      <alignment horizontal="center" vertical="center" shrinkToFit="1"/>
      <protection locked="0"/>
    </xf>
    <xf numFmtId="0" fontId="27" fillId="0" borderId="3" xfId="0" applyFont="1" applyFill="1" applyBorder="1" applyAlignment="1" applyProtection="1">
      <alignment horizontal="center" vertical="center" shrinkToFit="1"/>
      <protection locked="0"/>
    </xf>
    <xf numFmtId="0" fontId="23" fillId="0" borderId="38" xfId="0" applyFont="1" applyBorder="1" applyAlignment="1">
      <alignment horizontal="center" vertical="center" shrinkToFit="1"/>
    </xf>
    <xf numFmtId="0" fontId="23" fillId="0" borderId="18" xfId="0" applyFont="1" applyBorder="1" applyAlignment="1">
      <alignment horizontal="center" vertical="center" shrinkToFit="1"/>
    </xf>
    <xf numFmtId="0" fontId="22" fillId="0" borderId="3" xfId="0" applyFont="1" applyFill="1" applyBorder="1" applyAlignment="1" applyProtection="1">
      <alignment horizontal="center" vertical="center" shrinkToFit="1"/>
      <protection locked="0"/>
    </xf>
    <xf numFmtId="0" fontId="22" fillId="0" borderId="72" xfId="0" applyFont="1" applyFill="1" applyBorder="1" applyAlignment="1">
      <alignment horizontal="center" vertical="center" shrinkToFit="1"/>
    </xf>
    <xf numFmtId="0" fontId="22" fillId="0" borderId="86" xfId="0" applyFont="1" applyFill="1" applyBorder="1" applyAlignment="1">
      <alignment horizontal="center" vertical="center" shrinkToFit="1"/>
    </xf>
    <xf numFmtId="0" fontId="25" fillId="0" borderId="8" xfId="0" applyFont="1" applyBorder="1" applyAlignment="1" applyProtection="1">
      <alignment horizontal="center" vertical="center" shrinkToFit="1"/>
      <protection locked="0"/>
    </xf>
    <xf numFmtId="0" fontId="25" fillId="0" borderId="26" xfId="0" applyFont="1" applyBorder="1" applyAlignment="1" applyProtection="1">
      <alignment horizontal="center" vertical="center" shrinkToFit="1"/>
      <protection locked="0"/>
    </xf>
    <xf numFmtId="0" fontId="25" fillId="0" borderId="27" xfId="0" applyFont="1" applyBorder="1" applyAlignment="1" applyProtection="1">
      <alignment horizontal="center" vertical="center" shrinkToFit="1"/>
      <protection locked="0"/>
    </xf>
    <xf numFmtId="0" fontId="25" fillId="0" borderId="28" xfId="0" applyFont="1" applyBorder="1" applyAlignment="1" applyProtection="1">
      <alignment horizontal="center" vertical="center" shrinkToFit="1"/>
      <protection locked="0"/>
    </xf>
    <xf numFmtId="0" fontId="25" fillId="0" borderId="32" xfId="0" applyFont="1" applyBorder="1" applyAlignment="1">
      <alignment horizontal="center" vertical="center" shrinkToFit="1"/>
    </xf>
    <xf numFmtId="0" fontId="25" fillId="0" borderId="27" xfId="0" applyFont="1" applyBorder="1" applyAlignment="1">
      <alignment horizontal="center" vertical="center" shrinkToFit="1"/>
    </xf>
    <xf numFmtId="0" fontId="25" fillId="0" borderId="23" xfId="0" applyFont="1" applyBorder="1" applyAlignment="1">
      <alignment horizontal="center" vertical="center" shrinkToFit="1"/>
    </xf>
    <xf numFmtId="0" fontId="25" fillId="0" borderId="19" xfId="0" applyFont="1" applyBorder="1" applyAlignment="1">
      <alignment horizontal="center" vertical="center" shrinkToFit="1"/>
    </xf>
    <xf numFmtId="38" fontId="25" fillId="0" borderId="22" xfId="2" applyFont="1" applyBorder="1" applyAlignment="1">
      <alignment horizontal="center" vertical="center" shrinkToFit="1"/>
    </xf>
    <xf numFmtId="38" fontId="25" fillId="0" borderId="36" xfId="2" applyFont="1" applyBorder="1" applyAlignment="1" applyProtection="1">
      <alignment horizontal="center" vertical="center" shrinkToFit="1"/>
      <protection locked="0"/>
    </xf>
    <xf numFmtId="38" fontId="25" fillId="0" borderId="8" xfId="2" applyFont="1" applyBorder="1" applyAlignment="1" applyProtection="1">
      <alignment horizontal="center" vertical="center" shrinkToFit="1"/>
      <protection locked="0"/>
    </xf>
    <xf numFmtId="0" fontId="25" fillId="0" borderId="12" xfId="0" applyFont="1" applyBorder="1" applyAlignment="1">
      <alignment horizontal="center" vertical="center" shrinkToFit="1"/>
    </xf>
    <xf numFmtId="0" fontId="25" fillId="0" borderId="39" xfId="0" applyFont="1" applyBorder="1" applyAlignment="1">
      <alignment horizontal="center" vertical="center" shrinkToFit="1"/>
    </xf>
    <xf numFmtId="0" fontId="20" fillId="0" borderId="1" xfId="0" applyFont="1" applyFill="1" applyBorder="1" applyAlignment="1">
      <alignment horizontal="center" vertical="center" shrinkToFit="1"/>
    </xf>
    <xf numFmtId="0" fontId="20" fillId="0" borderId="0" xfId="0" applyFont="1" applyFill="1" applyBorder="1" applyAlignment="1">
      <alignment horizontal="center" vertical="center" shrinkToFit="1"/>
    </xf>
    <xf numFmtId="0" fontId="20" fillId="0" borderId="37" xfId="0" applyFont="1" applyFill="1" applyBorder="1" applyAlignment="1">
      <alignment horizontal="center" vertical="center" shrinkToFit="1"/>
    </xf>
    <xf numFmtId="0" fontId="20" fillId="0" borderId="2" xfId="0" applyFont="1" applyFill="1" applyBorder="1" applyAlignment="1">
      <alignment horizontal="center" vertical="center" shrinkToFit="1"/>
    </xf>
    <xf numFmtId="0" fontId="20" fillId="0" borderId="53" xfId="0" applyFont="1" applyFill="1" applyBorder="1" applyAlignment="1">
      <alignment horizontal="center" vertical="center" shrinkToFit="1"/>
    </xf>
    <xf numFmtId="0" fontId="20" fillId="0" borderId="77" xfId="0" applyFont="1" applyFill="1" applyBorder="1" applyAlignment="1">
      <alignment horizontal="center" vertical="center" shrinkToFit="1"/>
    </xf>
    <xf numFmtId="0" fontId="20" fillId="0" borderId="29" xfId="0" applyFont="1" applyFill="1" applyBorder="1" applyAlignment="1">
      <alignment horizontal="center" vertical="center" shrinkToFit="1"/>
    </xf>
    <xf numFmtId="0" fontId="20" fillId="0" borderId="78" xfId="0" applyFont="1" applyFill="1" applyBorder="1" applyAlignment="1">
      <alignment horizontal="center" vertical="center" shrinkToFit="1"/>
    </xf>
    <xf numFmtId="0" fontId="20" fillId="0" borderId="31" xfId="0" applyFont="1" applyFill="1" applyBorder="1" applyAlignment="1">
      <alignment horizontal="center" vertical="center" shrinkToFit="1"/>
    </xf>
    <xf numFmtId="0" fontId="20" fillId="0" borderId="30" xfId="0" applyFont="1" applyFill="1" applyBorder="1" applyAlignment="1">
      <alignment horizontal="center" vertical="center" shrinkToFit="1"/>
    </xf>
    <xf numFmtId="0" fontId="20" fillId="0" borderId="44" xfId="0" applyFont="1" applyFill="1" applyBorder="1" applyAlignment="1">
      <alignment horizontal="center" vertical="center" shrinkToFit="1"/>
    </xf>
    <xf numFmtId="0" fontId="25" fillId="0" borderId="24" xfId="0" applyFont="1" applyFill="1" applyBorder="1" applyAlignment="1" applyProtection="1">
      <alignment horizontal="center" vertical="center" shrinkToFit="1"/>
      <protection locked="0"/>
    </xf>
    <xf numFmtId="0" fontId="25" fillId="0" borderId="30" xfId="0" applyFont="1" applyFill="1" applyBorder="1" applyAlignment="1" applyProtection="1">
      <alignment horizontal="center" vertical="center" shrinkToFit="1"/>
      <protection locked="0"/>
    </xf>
    <xf numFmtId="0" fontId="25" fillId="0" borderId="6" xfId="0" applyFont="1" applyFill="1" applyBorder="1" applyAlignment="1" applyProtection="1">
      <alignment horizontal="center" vertical="center" shrinkToFit="1"/>
      <protection locked="0"/>
    </xf>
    <xf numFmtId="0" fontId="20" fillId="0" borderId="56" xfId="0" applyFont="1" applyFill="1" applyBorder="1" applyAlignment="1" applyProtection="1">
      <alignment horizontal="center" vertical="center" shrinkToFit="1"/>
      <protection locked="0"/>
    </xf>
    <xf numFmtId="0" fontId="20" fillId="0" borderId="29" xfId="0" applyFont="1" applyFill="1" applyBorder="1" applyAlignment="1" applyProtection="1">
      <alignment horizontal="center" vertical="center" shrinkToFit="1"/>
      <protection locked="0"/>
    </xf>
    <xf numFmtId="0" fontId="20" fillId="0" borderId="4" xfId="0" applyFont="1" applyFill="1" applyBorder="1" applyAlignment="1" applyProtection="1">
      <alignment horizontal="center" vertical="center" shrinkToFit="1"/>
      <protection locked="0"/>
    </xf>
    <xf numFmtId="0" fontId="25" fillId="0" borderId="25" xfId="0" applyFont="1" applyFill="1" applyBorder="1" applyAlignment="1" applyProtection="1">
      <alignment horizontal="center" vertical="center" shrinkToFit="1"/>
      <protection locked="0"/>
    </xf>
    <xf numFmtId="0" fontId="25" fillId="0" borderId="0" xfId="0" applyFont="1" applyFill="1" applyBorder="1" applyAlignment="1" applyProtection="1">
      <alignment horizontal="center" vertical="center" shrinkToFit="1"/>
      <protection locked="0"/>
    </xf>
    <xf numFmtId="0" fontId="25" fillId="0" borderId="9" xfId="0" applyFont="1" applyFill="1" applyBorder="1" applyAlignment="1" applyProtection="1">
      <alignment horizontal="center" vertical="center" shrinkToFit="1"/>
      <protection locked="0"/>
    </xf>
    <xf numFmtId="0" fontId="27" fillId="0" borderId="3" xfId="0" applyFont="1" applyFill="1" applyBorder="1" applyAlignment="1" applyProtection="1">
      <alignment horizontal="left" vertical="center" shrinkToFit="1"/>
      <protection locked="0"/>
    </xf>
    <xf numFmtId="0" fontId="27" fillId="0" borderId="15" xfId="0" applyFont="1" applyFill="1" applyBorder="1" applyAlignment="1" applyProtection="1">
      <alignment horizontal="left" vertical="center" shrinkToFit="1"/>
      <protection locked="0"/>
    </xf>
    <xf numFmtId="0" fontId="27" fillId="0" borderId="69" xfId="0" applyFont="1" applyFill="1" applyBorder="1" applyAlignment="1">
      <alignment horizontal="left" vertical="center" shrinkToFit="1"/>
    </xf>
    <xf numFmtId="0" fontId="3" fillId="0" borderId="12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3" fillId="0" borderId="39" xfId="0" applyFont="1" applyBorder="1" applyAlignment="1">
      <alignment horizontal="center" vertical="center" shrinkToFit="1"/>
    </xf>
    <xf numFmtId="0" fontId="11" fillId="0" borderId="59" xfId="0" applyFont="1" applyBorder="1" applyAlignment="1">
      <alignment horizontal="center" vertical="center" shrinkToFit="1"/>
    </xf>
    <xf numFmtId="0" fontId="11" fillId="0" borderId="60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 shrinkToFit="1"/>
    </xf>
    <xf numFmtId="0" fontId="3" fillId="0" borderId="63" xfId="0" applyFont="1" applyBorder="1" applyAlignment="1">
      <alignment horizontal="center" vertical="center" shrinkToFit="1"/>
    </xf>
    <xf numFmtId="0" fontId="3" fillId="0" borderId="62" xfId="0" applyFont="1" applyBorder="1" applyAlignment="1">
      <alignment horizontal="center" vertical="center" shrinkToFit="1"/>
    </xf>
    <xf numFmtId="0" fontId="3" fillId="0" borderId="59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0" fillId="0" borderId="9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0" fillId="0" borderId="58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0" fillId="0" borderId="46" xfId="0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0" fillId="0" borderId="45" xfId="0" applyBorder="1" applyAlignment="1">
      <alignment horizontal="center" vertical="center" shrinkToFit="1"/>
    </xf>
    <xf numFmtId="0" fontId="0" fillId="0" borderId="39" xfId="0" applyBorder="1" applyAlignment="1">
      <alignment horizontal="center" vertical="center" shrinkToFit="1"/>
    </xf>
    <xf numFmtId="0" fontId="10" fillId="0" borderId="40" xfId="0" applyFont="1" applyBorder="1" applyAlignment="1">
      <alignment horizontal="center" vertical="center" shrinkToFit="1"/>
    </xf>
    <xf numFmtId="0" fontId="10" fillId="0" borderId="19" xfId="0" applyFont="1" applyBorder="1" applyAlignment="1">
      <alignment horizontal="center" vertical="center" shrinkToFit="1"/>
    </xf>
    <xf numFmtId="0" fontId="10" fillId="0" borderId="7" xfId="0" applyFont="1" applyBorder="1" applyAlignment="1">
      <alignment horizontal="center" vertical="center" shrinkToFit="1"/>
    </xf>
    <xf numFmtId="0" fontId="10" fillId="0" borderId="23" xfId="0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shrinkToFit="1"/>
    </xf>
    <xf numFmtId="14" fontId="6" fillId="0" borderId="0" xfId="0" applyNumberFormat="1" applyFont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0" fillId="0" borderId="59" xfId="0" applyFont="1" applyBorder="1" applyAlignment="1">
      <alignment horizontal="center" vertical="center" shrinkToFit="1"/>
    </xf>
    <xf numFmtId="0" fontId="10" fillId="0" borderId="60" xfId="0" applyFont="1" applyBorder="1" applyAlignment="1">
      <alignment horizontal="center" vertical="center" shrinkToFit="1"/>
    </xf>
    <xf numFmtId="0" fontId="3" fillId="0" borderId="58" xfId="0" applyFont="1" applyBorder="1" applyAlignment="1">
      <alignment horizontal="center" vertical="center" shrinkToFit="1"/>
    </xf>
    <xf numFmtId="0" fontId="0" fillId="0" borderId="61" xfId="0" applyBorder="1" applyAlignment="1">
      <alignment horizontal="center" vertical="center" shrinkToFit="1"/>
    </xf>
    <xf numFmtId="0" fontId="0" fillId="0" borderId="57" xfId="0" applyBorder="1" applyAlignment="1">
      <alignment horizontal="center" vertical="center" shrinkToFit="1"/>
    </xf>
    <xf numFmtId="0" fontId="0" fillId="0" borderId="62" xfId="0" applyBorder="1" applyAlignment="1">
      <alignment horizontal="center" vertical="center" shrinkToFit="1"/>
    </xf>
    <xf numFmtId="0" fontId="0" fillId="0" borderId="59" xfId="0" applyBorder="1" applyAlignment="1">
      <alignment horizontal="center" vertical="center" shrinkToFit="1"/>
    </xf>
    <xf numFmtId="0" fontId="30" fillId="0" borderId="0" xfId="0" applyFont="1" applyAlignment="1" applyProtection="1">
      <alignment horizontal="center" vertical="center"/>
    </xf>
  </cellXfs>
  <cellStyles count="5">
    <cellStyle name="桁区切り" xfId="2" builtinId="6"/>
    <cellStyle name="標準" xfId="0" builtinId="0"/>
    <cellStyle name="標準 2" xfId="1" xr:uid="{00000000-0005-0000-0000-000001000000}"/>
    <cellStyle name="標準 3" xfId="3" xr:uid="{17DA019C-6025-4950-9A83-18EE45D0FBA7}"/>
    <cellStyle name="標準 4" xfId="4" xr:uid="{A52FC87E-3F04-40E9-9A7D-2558CC6E5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57150</xdr:colOff>
      <xdr:row>16</xdr:row>
      <xdr:rowOff>142875</xdr:rowOff>
    </xdr:from>
    <xdr:to>
      <xdr:col>34</xdr:col>
      <xdr:colOff>228600</xdr:colOff>
      <xdr:row>20</xdr:row>
      <xdr:rowOff>114300</xdr:rowOff>
    </xdr:to>
    <xdr:sp macro="[0]!入力" textlink="">
      <xdr:nvSpPr>
        <xdr:cNvPr id="4" name="フローチャート: 代替処理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 bwMode="auto">
        <a:xfrm>
          <a:off x="10248900" y="2943225"/>
          <a:ext cx="1581150" cy="695325"/>
        </a:xfrm>
        <a:prstGeom prst="flowChartAlternateProcess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              入力</a:t>
          </a:r>
          <a:r>
            <a:rPr kumimoji="1" lang="en-US" altLang="ja-JP" sz="1100"/>
            <a:t>BOX</a:t>
          </a:r>
          <a:endParaRPr kumimoji="1" lang="ja-JP" altLang="en-US" sz="1100"/>
        </a:p>
      </xdr:txBody>
    </xdr:sp>
    <xdr:clientData/>
  </xdr:twoCellAnchor>
  <xdr:twoCellAnchor>
    <xdr:from>
      <xdr:col>19</xdr:col>
      <xdr:colOff>47625</xdr:colOff>
      <xdr:row>33</xdr:row>
      <xdr:rowOff>95249</xdr:rowOff>
    </xdr:from>
    <xdr:to>
      <xdr:col>26</xdr:col>
      <xdr:colOff>371475</xdr:colOff>
      <xdr:row>47</xdr:row>
      <xdr:rowOff>66674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10175" y="5943599"/>
          <a:ext cx="2409825" cy="2505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備考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#500=0</a:t>
          </a:r>
          <a:r>
            <a:rPr kumimoji="1" lang="ja-JP" altLang="en-US" sz="1100"/>
            <a:t>　連続加工</a:t>
          </a:r>
          <a:endParaRPr kumimoji="1" lang="en-US" altLang="ja-JP" sz="1100"/>
        </a:p>
        <a:p>
          <a:r>
            <a:rPr kumimoji="1" lang="en-US" altLang="ja-JP" sz="1100"/>
            <a:t>#500=1</a:t>
          </a:r>
          <a:r>
            <a:rPr kumimoji="1" lang="ja-JP" altLang="en-US" sz="1100"/>
            <a:t>　内径荒　外径荒確認</a:t>
          </a:r>
          <a:endParaRPr kumimoji="1" lang="en-US" altLang="ja-JP" sz="1100"/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#553=0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連続加工</a:t>
          </a:r>
          <a:endParaRPr kumimoji="1" lang="en-US" altLang="ja-JP" sz="1100" strike="sngStrike" baseline="0"/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#553=1</a:t>
          </a:r>
          <a:r>
            <a:rPr kumimoji="1" lang="ja-JP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機械停止時間による熱変異対応</a:t>
          </a:r>
          <a:endParaRPr kumimoji="1" lang="en-US" altLang="ja-JP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</a:t>
          </a:r>
          <a:r>
            <a:rPr kumimoji="1" lang="ja-JP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秒以上停止→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ja-JP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個目のみ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T1U-0.004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90</a:t>
          </a:r>
          <a:r>
            <a:rPr kumimoji="1" lang="ja-JP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秒以上停止→正面側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ja-JP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個廃棄</a:t>
          </a:r>
          <a:endParaRPr kumimoji="1" lang="en-US" altLang="ja-JP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120</a:t>
          </a:r>
          <a:r>
            <a:rPr kumimoji="1" lang="ja-JP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秒以上停止→正面側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ja-JP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個廃棄</a:t>
          </a:r>
          <a:endParaRPr kumimoji="1" lang="en-US" altLang="ja-JP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66675</xdr:colOff>
      <xdr:row>44</xdr:row>
      <xdr:rowOff>123825</xdr:rowOff>
    </xdr:from>
    <xdr:to>
      <xdr:col>17</xdr:col>
      <xdr:colOff>304800</xdr:colOff>
      <xdr:row>58</xdr:row>
      <xdr:rowOff>95250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2628900" y="7991475"/>
          <a:ext cx="2314575" cy="2505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備考</a:t>
          </a:r>
          <a:endParaRPr kumimoji="1" lang="en-US" altLang="ja-JP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/>
            <a:t>オートバー設定</a:t>
          </a:r>
          <a:endParaRPr kumimoji="1" lang="en-US" altLang="ja-JP" sz="1100"/>
        </a:p>
        <a:p>
          <a:r>
            <a:rPr kumimoji="1" lang="ja-JP" altLang="en-US" sz="1100"/>
            <a:t>導入力</a:t>
          </a:r>
          <a:r>
            <a:rPr kumimoji="1" lang="en-US" altLang="ja-JP" sz="1100"/>
            <a:t>170</a:t>
          </a:r>
          <a:r>
            <a:rPr kumimoji="1" lang="ja-JP" altLang="en-US" sz="1100"/>
            <a:t>　送出力</a:t>
          </a:r>
          <a:r>
            <a:rPr kumimoji="1" lang="en-US" altLang="ja-JP" sz="1100"/>
            <a:t>0</a:t>
          </a:r>
          <a:r>
            <a:rPr kumimoji="1" lang="ja-JP" altLang="en-US" sz="1100"/>
            <a:t>　常時力</a:t>
          </a:r>
          <a:r>
            <a:rPr kumimoji="1" lang="en-US" altLang="ja-JP" sz="1100"/>
            <a:t>70</a:t>
          </a:r>
        </a:p>
        <a:p>
          <a:r>
            <a:rPr kumimoji="1" lang="ja-JP" altLang="en-US" sz="1100"/>
            <a:t>チャック通過</a:t>
          </a:r>
          <a:r>
            <a:rPr kumimoji="1" lang="en-US" altLang="ja-JP" sz="1100"/>
            <a:t>1860</a:t>
          </a:r>
        </a:p>
        <a:p>
          <a:r>
            <a:rPr kumimoji="1" lang="en-US" altLang="ja-JP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T500</a:t>
          </a:r>
          <a:r>
            <a:rPr kumimoji="1" lang="ja-JP" altLang="ja-JP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前挽き取付け詳細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・ホルダーは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SDXCR1616JX-11(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京セラ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使用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クーラントノズル（ブッシュ横）への干渉注意</a:t>
          </a:r>
          <a:endParaRPr lang="ja-JP" altLang="ja-JP">
            <a:effectLst/>
          </a:endParaRPr>
        </a:p>
        <a:p>
          <a:r>
            <a:rPr kumimoji="1" lang="en-US" altLang="ja-JP" sz="1100"/>
            <a:t>T08</a:t>
          </a:r>
          <a:r>
            <a:rPr kumimoji="1" lang="ja-JP" altLang="en-US" sz="1100"/>
            <a:t>は</a:t>
          </a:r>
          <a:r>
            <a:rPr kumimoji="1" lang="en-US" altLang="ja-JP" sz="1100"/>
            <a:t>4</a:t>
          </a:r>
          <a:r>
            <a:rPr kumimoji="1" lang="ja-JP" altLang="en-US" sz="1100"/>
            <a:t>倍速スピンドルの回転工具使用</a:t>
          </a:r>
          <a:r>
            <a:rPr kumimoji="1" lang="en-US" altLang="ja-JP" sz="1100"/>
            <a:t>(CSM4-03)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142875</xdr:colOff>
          <xdr:row>16</xdr:row>
          <xdr:rowOff>19050</xdr:rowOff>
        </xdr:from>
        <xdr:to>
          <xdr:col>23</xdr:col>
          <xdr:colOff>438150</xdr:colOff>
          <xdr:row>31</xdr:row>
          <xdr:rowOff>171450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21</xdr:col>
      <xdr:colOff>247650</xdr:colOff>
      <xdr:row>15</xdr:row>
      <xdr:rowOff>171450</xdr:rowOff>
    </xdr:from>
    <xdr:to>
      <xdr:col>23</xdr:col>
      <xdr:colOff>457200</xdr:colOff>
      <xdr:row>19</xdr:row>
      <xdr:rowOff>161925</xdr:rowOff>
    </xdr:to>
    <xdr:sp macro="" textlink="">
      <xdr:nvSpPr>
        <xdr:cNvPr id="63" name="フリーフォーム: 図形 62">
          <a:extLst>
            <a:ext uri="{FF2B5EF4-FFF2-40B4-BE49-F238E27FC236}">
              <a16:creationId xmlns:a16="http://schemas.microsoft.com/office/drawing/2014/main" id="{32B09F07-3D62-4467-8E93-5291A4501881}"/>
            </a:ext>
          </a:extLst>
        </xdr:cNvPr>
        <xdr:cNvSpPr/>
      </xdr:nvSpPr>
      <xdr:spPr bwMode="auto">
        <a:xfrm>
          <a:off x="5208270" y="2762250"/>
          <a:ext cx="826770" cy="721995"/>
        </a:xfrm>
        <a:custGeom>
          <a:avLst/>
          <a:gdLst>
            <a:gd name="connsiteX0" fmla="*/ 895350 w 895350"/>
            <a:gd name="connsiteY0" fmla="*/ 714375 h 714375"/>
            <a:gd name="connsiteX1" fmla="*/ 895350 w 895350"/>
            <a:gd name="connsiteY1" fmla="*/ 238125 h 714375"/>
            <a:gd name="connsiteX2" fmla="*/ 609600 w 895350"/>
            <a:gd name="connsiteY2" fmla="*/ 238125 h 714375"/>
            <a:gd name="connsiteX3" fmla="*/ 609600 w 895350"/>
            <a:gd name="connsiteY3" fmla="*/ 0 h 714375"/>
            <a:gd name="connsiteX4" fmla="*/ 0 w 895350"/>
            <a:gd name="connsiteY4" fmla="*/ 0 h 7143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95350" h="714375">
              <a:moveTo>
                <a:pt x="895350" y="714375"/>
              </a:moveTo>
              <a:lnTo>
                <a:pt x="895350" y="238125"/>
              </a:lnTo>
              <a:lnTo>
                <a:pt x="609600" y="238125"/>
              </a:lnTo>
              <a:lnTo>
                <a:pt x="609600" y="0"/>
              </a:lnTo>
              <a:lnTo>
                <a:pt x="0" y="0"/>
              </a:ln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70485</xdr:colOff>
      <xdr:row>29</xdr:row>
      <xdr:rowOff>0</xdr:rowOff>
    </xdr:from>
    <xdr:to>
      <xdr:col>21</xdr:col>
      <xdr:colOff>76200</xdr:colOff>
      <xdr:row>29</xdr:row>
      <xdr:rowOff>114300</xdr:rowOff>
    </xdr:to>
    <xdr:sp macro="" textlink="">
      <xdr:nvSpPr>
        <xdr:cNvPr id="1024" name="フリーフォーム: 図形 1023">
          <a:extLst>
            <a:ext uri="{FF2B5EF4-FFF2-40B4-BE49-F238E27FC236}">
              <a16:creationId xmlns:a16="http://schemas.microsoft.com/office/drawing/2014/main" id="{E1ECEDE4-06A7-4706-AE35-7866B2EFF417}"/>
            </a:ext>
          </a:extLst>
        </xdr:cNvPr>
        <xdr:cNvSpPr/>
      </xdr:nvSpPr>
      <xdr:spPr bwMode="auto">
        <a:xfrm>
          <a:off x="4916805" y="5151120"/>
          <a:ext cx="120015" cy="114300"/>
        </a:xfrm>
        <a:custGeom>
          <a:avLst/>
          <a:gdLst>
            <a:gd name="connsiteX0" fmla="*/ 0 w 104775"/>
            <a:gd name="connsiteY0" fmla="*/ 104775 h 104775"/>
            <a:gd name="connsiteX1" fmla="*/ 0 w 104775"/>
            <a:gd name="connsiteY1" fmla="*/ 0 h 104775"/>
            <a:gd name="connsiteX2" fmla="*/ 104775 w 104775"/>
            <a:gd name="connsiteY2" fmla="*/ 0 h 104775"/>
            <a:gd name="connsiteX3" fmla="*/ 104775 w 104775"/>
            <a:gd name="connsiteY3" fmla="*/ 95250 h 1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4775" h="104775">
              <a:moveTo>
                <a:pt x="0" y="104775"/>
              </a:moveTo>
              <a:lnTo>
                <a:pt x="0" y="0"/>
              </a:lnTo>
              <a:lnTo>
                <a:pt x="104775" y="0"/>
              </a:lnTo>
              <a:lnTo>
                <a:pt x="104775" y="95250"/>
              </a:ln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114300</xdr:colOff>
      <xdr:row>26</xdr:row>
      <xdr:rowOff>133350</xdr:rowOff>
    </xdr:from>
    <xdr:to>
      <xdr:col>22</xdr:col>
      <xdr:colOff>152400</xdr:colOff>
      <xdr:row>26</xdr:row>
      <xdr:rowOff>133350</xdr:rowOff>
    </xdr:to>
    <xdr:sp macro="" textlink="">
      <xdr:nvSpPr>
        <xdr:cNvPr id="1025" name="フリーフォーム: 図形 1024">
          <a:extLst>
            <a:ext uri="{FF2B5EF4-FFF2-40B4-BE49-F238E27FC236}">
              <a16:creationId xmlns:a16="http://schemas.microsoft.com/office/drawing/2014/main" id="{A0841430-A164-4525-9914-D940AEED78C2}"/>
            </a:ext>
          </a:extLst>
        </xdr:cNvPr>
        <xdr:cNvSpPr/>
      </xdr:nvSpPr>
      <xdr:spPr bwMode="auto">
        <a:xfrm>
          <a:off x="4960620" y="4766310"/>
          <a:ext cx="434340" cy="0"/>
        </a:xfrm>
        <a:custGeom>
          <a:avLst/>
          <a:gdLst>
            <a:gd name="connsiteX0" fmla="*/ 476250 w 476250"/>
            <a:gd name="connsiteY0" fmla="*/ 0 h 0"/>
            <a:gd name="connsiteX1" fmla="*/ 0 w 476250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476250">
              <a:moveTo>
                <a:pt x="476250" y="0"/>
              </a:moveTo>
              <a:lnTo>
                <a:pt x="0" y="0"/>
              </a:ln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209550</xdr:colOff>
      <xdr:row>31</xdr:row>
      <xdr:rowOff>47625</xdr:rowOff>
    </xdr:from>
    <xdr:to>
      <xdr:col>23</xdr:col>
      <xdr:colOff>361950</xdr:colOff>
      <xdr:row>31</xdr:row>
      <xdr:rowOff>47625</xdr:rowOff>
    </xdr:to>
    <xdr:sp macro="" textlink="">
      <xdr:nvSpPr>
        <xdr:cNvPr id="1026" name="フリーフォーム: 図形 1025">
          <a:extLst>
            <a:ext uri="{FF2B5EF4-FFF2-40B4-BE49-F238E27FC236}">
              <a16:creationId xmlns:a16="http://schemas.microsoft.com/office/drawing/2014/main" id="{C5585DDC-B0B4-4104-9ED1-0FB206D86487}"/>
            </a:ext>
          </a:extLst>
        </xdr:cNvPr>
        <xdr:cNvSpPr/>
      </xdr:nvSpPr>
      <xdr:spPr bwMode="auto">
        <a:xfrm>
          <a:off x="5452110" y="5564505"/>
          <a:ext cx="487680" cy="0"/>
        </a:xfrm>
        <a:custGeom>
          <a:avLst/>
          <a:gdLst>
            <a:gd name="connsiteX0" fmla="*/ 0 w 523875"/>
            <a:gd name="connsiteY0" fmla="*/ 0 h 0"/>
            <a:gd name="connsiteX1" fmla="*/ 523875 w 52387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523875">
              <a:moveTo>
                <a:pt x="0" y="0"/>
              </a:moveTo>
              <a:lnTo>
                <a:pt x="523875" y="0"/>
              </a:ln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657224</xdr:colOff>
      <xdr:row>27</xdr:row>
      <xdr:rowOff>180975</xdr:rowOff>
    </xdr:from>
    <xdr:to>
      <xdr:col>26</xdr:col>
      <xdr:colOff>68579</xdr:colOff>
      <xdr:row>29</xdr:row>
      <xdr:rowOff>85725</xdr:rowOff>
    </xdr:to>
    <xdr:sp macro="" textlink="">
      <xdr:nvSpPr>
        <xdr:cNvPr id="1027" name="吹き出し: 線 1026">
          <a:extLst>
            <a:ext uri="{FF2B5EF4-FFF2-40B4-BE49-F238E27FC236}">
              <a16:creationId xmlns:a16="http://schemas.microsoft.com/office/drawing/2014/main" id="{A18480CE-74AD-4343-A447-A9AB65F71404}"/>
            </a:ext>
          </a:extLst>
        </xdr:cNvPr>
        <xdr:cNvSpPr/>
      </xdr:nvSpPr>
      <xdr:spPr bwMode="auto">
        <a:xfrm>
          <a:off x="6235064" y="4966335"/>
          <a:ext cx="379095" cy="270510"/>
        </a:xfrm>
        <a:prstGeom prst="borderCallout1">
          <a:avLst>
            <a:gd name="adj1" fmla="val 18750"/>
            <a:gd name="adj2" fmla="val -8333"/>
            <a:gd name="adj3" fmla="val 132989"/>
            <a:gd name="adj4" fmla="val -151666"/>
          </a:avLst>
        </a:prstGeom>
        <a:ln w="3175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 baseline="0"/>
            <a:t>   T8</a:t>
          </a:r>
          <a:endParaRPr kumimoji="1" lang="ja-JP" altLang="en-US" sz="1100"/>
        </a:p>
      </xdr:txBody>
    </xdr:sp>
    <xdr:clientData/>
  </xdr:twoCellAnchor>
  <xdr:twoCellAnchor>
    <xdr:from>
      <xdr:col>12</xdr:col>
      <xdr:colOff>41910</xdr:colOff>
      <xdr:row>27</xdr:row>
      <xdr:rowOff>62865</xdr:rowOff>
    </xdr:from>
    <xdr:to>
      <xdr:col>14</xdr:col>
      <xdr:colOff>120015</xdr:colOff>
      <xdr:row>28</xdr:row>
      <xdr:rowOff>129540</xdr:rowOff>
    </xdr:to>
    <xdr:sp macro="" textlink="">
      <xdr:nvSpPr>
        <xdr:cNvPr id="1028" name="テキスト ボックス 1027">
          <a:extLst>
            <a:ext uri="{FF2B5EF4-FFF2-40B4-BE49-F238E27FC236}">
              <a16:creationId xmlns:a16="http://schemas.microsoft.com/office/drawing/2014/main" id="{385D7DD5-D93A-4CB4-850C-339E9B3AFC95}"/>
            </a:ext>
          </a:extLst>
        </xdr:cNvPr>
        <xdr:cNvSpPr txBox="1"/>
      </xdr:nvSpPr>
      <xdr:spPr>
        <a:xfrm>
          <a:off x="2830830" y="4848225"/>
          <a:ext cx="489585" cy="2800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en-US" altLang="ja-JP" sz="1100"/>
            <a:t>T22</a:t>
          </a:r>
          <a:endParaRPr kumimoji="1" lang="ja-JP" altLang="en-US" sz="1100"/>
        </a:p>
      </xdr:txBody>
    </xdr:sp>
    <xdr:clientData/>
  </xdr:twoCellAnchor>
  <xdr:twoCellAnchor>
    <xdr:from>
      <xdr:col>16</xdr:col>
      <xdr:colOff>38100</xdr:colOff>
      <xdr:row>23</xdr:row>
      <xdr:rowOff>19050</xdr:rowOff>
    </xdr:from>
    <xdr:to>
      <xdr:col>18</xdr:col>
      <xdr:colOff>28575</xdr:colOff>
      <xdr:row>25</xdr:row>
      <xdr:rowOff>123825</xdr:rowOff>
    </xdr:to>
    <xdr:sp macro="" textlink="">
      <xdr:nvSpPr>
        <xdr:cNvPr id="1029" name="テキスト ボックス 1028">
          <a:extLst>
            <a:ext uri="{FF2B5EF4-FFF2-40B4-BE49-F238E27FC236}">
              <a16:creationId xmlns:a16="http://schemas.microsoft.com/office/drawing/2014/main" id="{DF3BF548-16AD-41F3-A9CB-79884AB4115C}"/>
            </a:ext>
          </a:extLst>
        </xdr:cNvPr>
        <xdr:cNvSpPr txBox="1"/>
      </xdr:nvSpPr>
      <xdr:spPr>
        <a:xfrm>
          <a:off x="4091940" y="4072890"/>
          <a:ext cx="485775" cy="4705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en-US" altLang="ja-JP" sz="900"/>
            <a:t>T9,T14,T15</a:t>
          </a:r>
          <a:endParaRPr kumimoji="1" lang="ja-JP" altLang="en-US" sz="900"/>
        </a:p>
      </xdr:txBody>
    </xdr:sp>
    <xdr:clientData/>
  </xdr:twoCellAnchor>
  <xdr:twoCellAnchor>
    <xdr:from>
      <xdr:col>19</xdr:col>
      <xdr:colOff>93345</xdr:colOff>
      <xdr:row>29</xdr:row>
      <xdr:rowOff>127635</xdr:rowOff>
    </xdr:from>
    <xdr:to>
      <xdr:col>21</xdr:col>
      <xdr:colOff>188595</xdr:colOff>
      <xdr:row>31</xdr:row>
      <xdr:rowOff>38100</xdr:rowOff>
    </xdr:to>
    <xdr:sp macro="" textlink="">
      <xdr:nvSpPr>
        <xdr:cNvPr id="1030" name="テキスト ボックス 1029">
          <a:extLst>
            <a:ext uri="{FF2B5EF4-FFF2-40B4-BE49-F238E27FC236}">
              <a16:creationId xmlns:a16="http://schemas.microsoft.com/office/drawing/2014/main" id="{5B294015-E9FA-407F-9311-979304A7DC44}"/>
            </a:ext>
          </a:extLst>
        </xdr:cNvPr>
        <xdr:cNvSpPr txBox="1"/>
      </xdr:nvSpPr>
      <xdr:spPr>
        <a:xfrm>
          <a:off x="4756785" y="5278755"/>
          <a:ext cx="392430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en-US" altLang="ja-JP" sz="1100"/>
            <a:t>T6</a:t>
          </a:r>
          <a:endParaRPr kumimoji="1" lang="ja-JP" altLang="en-US" sz="1100"/>
        </a:p>
      </xdr:txBody>
    </xdr:sp>
    <xdr:clientData/>
  </xdr:twoCellAnchor>
  <xdr:twoCellAnchor>
    <xdr:from>
      <xdr:col>23</xdr:col>
      <xdr:colOff>304800</xdr:colOff>
      <xdr:row>31</xdr:row>
      <xdr:rowOff>0</xdr:rowOff>
    </xdr:from>
    <xdr:to>
      <xdr:col>26</xdr:col>
      <xdr:colOff>243840</xdr:colOff>
      <xdr:row>32</xdr:row>
      <xdr:rowOff>66675</xdr:rowOff>
    </xdr:to>
    <xdr:sp macro="" textlink="">
      <xdr:nvSpPr>
        <xdr:cNvPr id="1031" name="テキスト ボックス 1030">
          <a:extLst>
            <a:ext uri="{FF2B5EF4-FFF2-40B4-BE49-F238E27FC236}">
              <a16:creationId xmlns:a16="http://schemas.microsoft.com/office/drawing/2014/main" id="{38E686E0-08A8-488C-A8F7-DED767DC3E67}"/>
            </a:ext>
          </a:extLst>
        </xdr:cNvPr>
        <xdr:cNvSpPr txBox="1"/>
      </xdr:nvSpPr>
      <xdr:spPr>
        <a:xfrm>
          <a:off x="5882640" y="5516880"/>
          <a:ext cx="906780" cy="2800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en-US" altLang="ja-JP" sz="1100"/>
            <a:t>T5  H</a:t>
          </a:r>
          <a:r>
            <a:rPr kumimoji="1" lang="ja-JP" altLang="en-US" sz="1100"/>
            <a:t>カット</a:t>
          </a:r>
        </a:p>
      </xdr:txBody>
    </xdr:sp>
    <xdr:clientData/>
  </xdr:twoCellAnchor>
  <xdr:twoCellAnchor>
    <xdr:from>
      <xdr:col>19</xdr:col>
      <xdr:colOff>89535</xdr:colOff>
      <xdr:row>15</xdr:row>
      <xdr:rowOff>201930</xdr:rowOff>
    </xdr:from>
    <xdr:to>
      <xdr:col>21</xdr:col>
      <xdr:colOff>175260</xdr:colOff>
      <xdr:row>17</xdr:row>
      <xdr:rowOff>116205</xdr:rowOff>
    </xdr:to>
    <xdr:sp macro="" textlink="">
      <xdr:nvSpPr>
        <xdr:cNvPr id="1032" name="テキスト ボックス 1031">
          <a:extLst>
            <a:ext uri="{FF2B5EF4-FFF2-40B4-BE49-F238E27FC236}">
              <a16:creationId xmlns:a16="http://schemas.microsoft.com/office/drawing/2014/main" id="{1741766B-7834-4336-9461-ADE5FEBF5FD2}"/>
            </a:ext>
          </a:extLst>
        </xdr:cNvPr>
        <xdr:cNvSpPr txBox="1"/>
      </xdr:nvSpPr>
      <xdr:spPr>
        <a:xfrm>
          <a:off x="4752975" y="2792730"/>
          <a:ext cx="382905" cy="2800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en-US" altLang="ja-JP" sz="1100"/>
            <a:t>T4</a:t>
          </a:r>
          <a:endParaRPr kumimoji="1" lang="ja-JP" altLang="en-US" sz="1100"/>
        </a:p>
      </xdr:txBody>
    </xdr:sp>
    <xdr:clientData/>
  </xdr:twoCellAnchor>
  <xdr:twoCellAnchor>
    <xdr:from>
      <xdr:col>23</xdr:col>
      <xdr:colOff>504825</xdr:colOff>
      <xdr:row>15</xdr:row>
      <xdr:rowOff>180975</xdr:rowOff>
    </xdr:from>
    <xdr:to>
      <xdr:col>24</xdr:col>
      <xdr:colOff>85725</xdr:colOff>
      <xdr:row>17</xdr:row>
      <xdr:rowOff>95250</xdr:rowOff>
    </xdr:to>
    <xdr:sp macro="" textlink="">
      <xdr:nvSpPr>
        <xdr:cNvPr id="1033" name="テキスト ボックス 1032">
          <a:extLst>
            <a:ext uri="{FF2B5EF4-FFF2-40B4-BE49-F238E27FC236}">
              <a16:creationId xmlns:a16="http://schemas.microsoft.com/office/drawing/2014/main" id="{383F4929-AB85-4B22-9C0E-62AB93E95DB1}"/>
            </a:ext>
          </a:extLst>
        </xdr:cNvPr>
        <xdr:cNvSpPr txBox="1"/>
      </xdr:nvSpPr>
      <xdr:spPr>
        <a:xfrm>
          <a:off x="6082665" y="2771775"/>
          <a:ext cx="335280" cy="2800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en-US" altLang="ja-JP" sz="1100"/>
            <a:t>T3</a:t>
          </a:r>
          <a:endParaRPr kumimoji="1" lang="ja-JP" altLang="en-US" sz="1100"/>
        </a:p>
      </xdr:txBody>
    </xdr:sp>
    <xdr:clientData/>
  </xdr:twoCellAnchor>
  <xdr:twoCellAnchor>
    <xdr:from>
      <xdr:col>21</xdr:col>
      <xdr:colOff>47625</xdr:colOff>
      <xdr:row>25</xdr:row>
      <xdr:rowOff>19050</xdr:rowOff>
    </xdr:from>
    <xdr:to>
      <xdr:col>22</xdr:col>
      <xdr:colOff>152400</xdr:colOff>
      <xdr:row>26</xdr:row>
      <xdr:rowOff>85725</xdr:rowOff>
    </xdr:to>
    <xdr:sp macro="" textlink="">
      <xdr:nvSpPr>
        <xdr:cNvPr id="1034" name="テキスト ボックス 1033">
          <a:extLst>
            <a:ext uri="{FF2B5EF4-FFF2-40B4-BE49-F238E27FC236}">
              <a16:creationId xmlns:a16="http://schemas.microsoft.com/office/drawing/2014/main" id="{F87D8D05-F92B-480C-B4F3-3950E3292CDC}"/>
            </a:ext>
          </a:extLst>
        </xdr:cNvPr>
        <xdr:cNvSpPr txBox="1"/>
      </xdr:nvSpPr>
      <xdr:spPr>
        <a:xfrm>
          <a:off x="5008245" y="4438650"/>
          <a:ext cx="386715" cy="2800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en-US" altLang="ja-JP" sz="1100"/>
            <a:t>T2</a:t>
          </a:r>
          <a:endParaRPr kumimoji="1" lang="ja-JP" altLang="en-US" sz="1100"/>
        </a:p>
      </xdr:txBody>
    </xdr:sp>
    <xdr:clientData/>
  </xdr:twoCellAnchor>
  <xdr:twoCellAnchor>
    <xdr:from>
      <xdr:col>23</xdr:col>
      <xdr:colOff>426720</xdr:colOff>
      <xdr:row>20</xdr:row>
      <xdr:rowOff>45720</xdr:rowOff>
    </xdr:from>
    <xdr:to>
      <xdr:col>24</xdr:col>
      <xdr:colOff>91440</xdr:colOff>
      <xdr:row>21</xdr:row>
      <xdr:rowOff>173355</xdr:rowOff>
    </xdr:to>
    <xdr:sp macro="" textlink="">
      <xdr:nvSpPr>
        <xdr:cNvPr id="1035" name="テキスト ボックス 1034">
          <a:extLst>
            <a:ext uri="{FF2B5EF4-FFF2-40B4-BE49-F238E27FC236}">
              <a16:creationId xmlns:a16="http://schemas.microsoft.com/office/drawing/2014/main" id="{8A0D811C-32D0-4B77-AA4A-EF2BE500916B}"/>
            </a:ext>
          </a:extLst>
        </xdr:cNvPr>
        <xdr:cNvSpPr txBox="1"/>
      </xdr:nvSpPr>
      <xdr:spPr>
        <a:xfrm>
          <a:off x="6004560" y="3581400"/>
          <a:ext cx="419100" cy="2800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en-US" altLang="ja-JP" sz="1100"/>
            <a:t>T1</a:t>
          </a:r>
          <a:endParaRPr kumimoji="1" lang="ja-JP" altLang="en-US" sz="1100"/>
        </a:p>
      </xdr:txBody>
    </xdr:sp>
    <xdr:clientData/>
  </xdr:twoCellAnchor>
  <xdr:twoCellAnchor>
    <xdr:from>
      <xdr:col>15</xdr:col>
      <xdr:colOff>32385</xdr:colOff>
      <xdr:row>29</xdr:row>
      <xdr:rowOff>51435</xdr:rowOff>
    </xdr:from>
    <xdr:to>
      <xdr:col>15</xdr:col>
      <xdr:colOff>451485</xdr:colOff>
      <xdr:row>30</xdr:row>
      <xdr:rowOff>114300</xdr:rowOff>
    </xdr:to>
    <xdr:sp macro="" textlink="">
      <xdr:nvSpPr>
        <xdr:cNvPr id="1036" name="テキスト ボックス 1035">
          <a:extLst>
            <a:ext uri="{FF2B5EF4-FFF2-40B4-BE49-F238E27FC236}">
              <a16:creationId xmlns:a16="http://schemas.microsoft.com/office/drawing/2014/main" id="{A5233143-91D6-49D5-B6F8-32FA7E6A993B}"/>
            </a:ext>
          </a:extLst>
        </xdr:cNvPr>
        <xdr:cNvSpPr txBox="1"/>
      </xdr:nvSpPr>
      <xdr:spPr>
        <a:xfrm>
          <a:off x="3423285" y="5202555"/>
          <a:ext cx="419100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en-US" altLang="ja-JP" sz="1100"/>
            <a:t>T6</a:t>
          </a:r>
          <a:endParaRPr kumimoji="1" lang="ja-JP" altLang="en-US" sz="1100"/>
        </a:p>
      </xdr:txBody>
    </xdr:sp>
    <xdr:clientData/>
  </xdr:twoCellAnchor>
  <xdr:twoCellAnchor>
    <xdr:from>
      <xdr:col>15</xdr:col>
      <xdr:colOff>163832</xdr:colOff>
      <xdr:row>28</xdr:row>
      <xdr:rowOff>70485</xdr:rowOff>
    </xdr:from>
    <xdr:to>
      <xdr:col>15</xdr:col>
      <xdr:colOff>306705</xdr:colOff>
      <xdr:row>29</xdr:row>
      <xdr:rowOff>13335</xdr:rowOff>
    </xdr:to>
    <xdr:sp macro="" textlink="">
      <xdr:nvSpPr>
        <xdr:cNvPr id="1037" name="フリーフォーム: 図形 1036">
          <a:extLst>
            <a:ext uri="{FF2B5EF4-FFF2-40B4-BE49-F238E27FC236}">
              <a16:creationId xmlns:a16="http://schemas.microsoft.com/office/drawing/2014/main" id="{B33C8A54-BB64-4B39-A78D-B677899BB8F2}"/>
            </a:ext>
          </a:extLst>
        </xdr:cNvPr>
        <xdr:cNvSpPr/>
      </xdr:nvSpPr>
      <xdr:spPr bwMode="auto">
        <a:xfrm>
          <a:off x="3554732" y="5069205"/>
          <a:ext cx="142873" cy="95250"/>
        </a:xfrm>
        <a:custGeom>
          <a:avLst/>
          <a:gdLst>
            <a:gd name="connsiteX0" fmla="*/ 0 w 104775"/>
            <a:gd name="connsiteY0" fmla="*/ 104775 h 104775"/>
            <a:gd name="connsiteX1" fmla="*/ 0 w 104775"/>
            <a:gd name="connsiteY1" fmla="*/ 0 h 104775"/>
            <a:gd name="connsiteX2" fmla="*/ 104775 w 104775"/>
            <a:gd name="connsiteY2" fmla="*/ 0 h 104775"/>
            <a:gd name="connsiteX3" fmla="*/ 104775 w 104775"/>
            <a:gd name="connsiteY3" fmla="*/ 95250 h 1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4775" h="104775">
              <a:moveTo>
                <a:pt x="0" y="104775"/>
              </a:moveTo>
              <a:lnTo>
                <a:pt x="0" y="0"/>
              </a:lnTo>
              <a:lnTo>
                <a:pt x="104775" y="0"/>
              </a:lnTo>
              <a:lnTo>
                <a:pt x="104775" y="95250"/>
              </a:ln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548640</xdr:colOff>
      <xdr:row>16</xdr:row>
      <xdr:rowOff>68580</xdr:rowOff>
    </xdr:from>
    <xdr:to>
      <xdr:col>21</xdr:col>
      <xdr:colOff>228600</xdr:colOff>
      <xdr:row>18</xdr:row>
      <xdr:rowOff>60960</xdr:rowOff>
    </xdr:to>
    <xdr:sp macro="" textlink="">
      <xdr:nvSpPr>
        <xdr:cNvPr id="1038" name="フリーフォーム: 図形 1037">
          <a:extLst>
            <a:ext uri="{FF2B5EF4-FFF2-40B4-BE49-F238E27FC236}">
              <a16:creationId xmlns:a16="http://schemas.microsoft.com/office/drawing/2014/main" id="{DD0143BA-D67E-443E-8402-E69E5EC44B9E}"/>
            </a:ext>
          </a:extLst>
        </xdr:cNvPr>
        <xdr:cNvSpPr/>
      </xdr:nvSpPr>
      <xdr:spPr bwMode="auto">
        <a:xfrm>
          <a:off x="3939540" y="2872740"/>
          <a:ext cx="1249680" cy="358140"/>
        </a:xfrm>
        <a:custGeom>
          <a:avLst/>
          <a:gdLst>
            <a:gd name="connsiteX0" fmla="*/ 1249680 w 1249680"/>
            <a:gd name="connsiteY0" fmla="*/ 0 h 358140"/>
            <a:gd name="connsiteX1" fmla="*/ 1249680 w 1249680"/>
            <a:gd name="connsiteY1" fmla="*/ 358140 h 358140"/>
            <a:gd name="connsiteX2" fmla="*/ 0 w 1249680"/>
            <a:gd name="connsiteY2" fmla="*/ 358140 h 3581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249680" h="358140">
              <a:moveTo>
                <a:pt x="1249680" y="0"/>
              </a:moveTo>
              <a:lnTo>
                <a:pt x="1249680" y="358140"/>
              </a:lnTo>
              <a:lnTo>
                <a:pt x="0" y="358140"/>
              </a:lnTo>
            </a:path>
          </a:pathLst>
        </a:custGeom>
        <a:noFill/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175260</xdr:colOff>
      <xdr:row>20</xdr:row>
      <xdr:rowOff>22860</xdr:rowOff>
    </xdr:from>
    <xdr:to>
      <xdr:col>23</xdr:col>
      <xdr:colOff>434340</xdr:colOff>
      <xdr:row>22</xdr:row>
      <xdr:rowOff>129540</xdr:rowOff>
    </xdr:to>
    <xdr:sp macro="" textlink="">
      <xdr:nvSpPr>
        <xdr:cNvPr id="1039" name="フリーフォーム: 図形 1038">
          <a:extLst>
            <a:ext uri="{FF2B5EF4-FFF2-40B4-BE49-F238E27FC236}">
              <a16:creationId xmlns:a16="http://schemas.microsoft.com/office/drawing/2014/main" id="{DC33E324-DA91-430E-876D-D6DC8C27BF46}"/>
            </a:ext>
          </a:extLst>
        </xdr:cNvPr>
        <xdr:cNvSpPr/>
      </xdr:nvSpPr>
      <xdr:spPr bwMode="auto">
        <a:xfrm>
          <a:off x="3566160" y="3558540"/>
          <a:ext cx="2446020" cy="472440"/>
        </a:xfrm>
        <a:custGeom>
          <a:avLst/>
          <a:gdLst>
            <a:gd name="connsiteX0" fmla="*/ 2446020 w 2446020"/>
            <a:gd name="connsiteY0" fmla="*/ 0 h 472440"/>
            <a:gd name="connsiteX1" fmla="*/ 2247900 w 2446020"/>
            <a:gd name="connsiteY1" fmla="*/ 114300 h 472440"/>
            <a:gd name="connsiteX2" fmla="*/ 1973580 w 2446020"/>
            <a:gd name="connsiteY2" fmla="*/ 114300 h 472440"/>
            <a:gd name="connsiteX3" fmla="*/ 1973580 w 2446020"/>
            <a:gd name="connsiteY3" fmla="*/ 198120 h 472440"/>
            <a:gd name="connsiteX4" fmla="*/ 1447800 w 2446020"/>
            <a:gd name="connsiteY4" fmla="*/ 198120 h 472440"/>
            <a:gd name="connsiteX5" fmla="*/ 1447800 w 2446020"/>
            <a:gd name="connsiteY5" fmla="*/ 236220 h 472440"/>
            <a:gd name="connsiteX6" fmla="*/ 457200 w 2446020"/>
            <a:gd name="connsiteY6" fmla="*/ 236220 h 472440"/>
            <a:gd name="connsiteX7" fmla="*/ 457200 w 2446020"/>
            <a:gd name="connsiteY7" fmla="*/ 266700 h 472440"/>
            <a:gd name="connsiteX8" fmla="*/ 0 w 2446020"/>
            <a:gd name="connsiteY8" fmla="*/ 266700 h 472440"/>
            <a:gd name="connsiteX9" fmla="*/ 0 w 2446020"/>
            <a:gd name="connsiteY9" fmla="*/ 472440 h 4724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2446020" h="472440">
              <a:moveTo>
                <a:pt x="2446020" y="0"/>
              </a:moveTo>
              <a:lnTo>
                <a:pt x="2247900" y="114300"/>
              </a:lnTo>
              <a:lnTo>
                <a:pt x="1973580" y="114300"/>
              </a:lnTo>
              <a:lnTo>
                <a:pt x="1973580" y="198120"/>
              </a:lnTo>
              <a:lnTo>
                <a:pt x="1447800" y="198120"/>
              </a:lnTo>
              <a:lnTo>
                <a:pt x="1447800" y="236220"/>
              </a:lnTo>
              <a:lnTo>
                <a:pt x="457200" y="236220"/>
              </a:lnTo>
              <a:lnTo>
                <a:pt x="457200" y="266700"/>
              </a:lnTo>
              <a:lnTo>
                <a:pt x="0" y="266700"/>
              </a:lnTo>
              <a:lnTo>
                <a:pt x="0" y="472440"/>
              </a:lnTo>
            </a:path>
          </a:pathLst>
        </a:custGeom>
        <a:noFill/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12</xdr:col>
      <xdr:colOff>30480</xdr:colOff>
      <xdr:row>21</xdr:row>
      <xdr:rowOff>15240</xdr:rowOff>
    </xdr:from>
    <xdr:ext cx="480060" cy="264560"/>
    <xdr:sp macro="" textlink="">
      <xdr:nvSpPr>
        <xdr:cNvPr id="1041" name="テキスト ボックス 1040">
          <a:extLst>
            <a:ext uri="{FF2B5EF4-FFF2-40B4-BE49-F238E27FC236}">
              <a16:creationId xmlns:a16="http://schemas.microsoft.com/office/drawing/2014/main" id="{F0101492-9D8A-4638-BEB6-37B2C0B2A689}"/>
            </a:ext>
          </a:extLst>
        </xdr:cNvPr>
        <xdr:cNvSpPr txBox="1"/>
      </xdr:nvSpPr>
      <xdr:spPr>
        <a:xfrm>
          <a:off x="2819400" y="3703320"/>
          <a:ext cx="480060" cy="26456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/>
            <a:t>T22</a:t>
          </a:r>
          <a:endParaRPr kumimoji="1" lang="ja-JP" altLang="en-US" sz="1100"/>
        </a:p>
      </xdr:txBody>
    </xdr:sp>
    <xdr:clientData/>
  </xdr:oneCellAnchor>
  <xdr:twoCellAnchor>
    <xdr:from>
      <xdr:col>14</xdr:col>
      <xdr:colOff>91440</xdr:colOff>
      <xdr:row>18</xdr:row>
      <xdr:rowOff>68580</xdr:rowOff>
    </xdr:from>
    <xdr:to>
      <xdr:col>15</xdr:col>
      <xdr:colOff>495300</xdr:colOff>
      <xdr:row>21</xdr:row>
      <xdr:rowOff>15240</xdr:rowOff>
    </xdr:to>
    <xdr:sp macro="" textlink="">
      <xdr:nvSpPr>
        <xdr:cNvPr id="1042" name="フリーフォーム: 図形 1041">
          <a:extLst>
            <a:ext uri="{FF2B5EF4-FFF2-40B4-BE49-F238E27FC236}">
              <a16:creationId xmlns:a16="http://schemas.microsoft.com/office/drawing/2014/main" id="{EFA9680E-6210-44EB-B227-2814DB549A41}"/>
            </a:ext>
          </a:extLst>
        </xdr:cNvPr>
        <xdr:cNvSpPr/>
      </xdr:nvSpPr>
      <xdr:spPr bwMode="auto">
        <a:xfrm>
          <a:off x="3291840" y="3238500"/>
          <a:ext cx="594360" cy="464820"/>
        </a:xfrm>
        <a:custGeom>
          <a:avLst/>
          <a:gdLst>
            <a:gd name="connsiteX0" fmla="*/ 0 w 594360"/>
            <a:gd name="connsiteY0" fmla="*/ 464820 h 464820"/>
            <a:gd name="connsiteX1" fmla="*/ 0 w 594360"/>
            <a:gd name="connsiteY1" fmla="*/ 99060 h 464820"/>
            <a:gd name="connsiteX2" fmla="*/ 594360 w 594360"/>
            <a:gd name="connsiteY2" fmla="*/ 99060 h 464820"/>
            <a:gd name="connsiteX3" fmla="*/ 594360 w 594360"/>
            <a:gd name="connsiteY3" fmla="*/ 0 h 46482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594360" h="464820">
              <a:moveTo>
                <a:pt x="0" y="464820"/>
              </a:moveTo>
              <a:lnTo>
                <a:pt x="0" y="99060"/>
              </a:lnTo>
              <a:lnTo>
                <a:pt x="594360" y="99060"/>
              </a:lnTo>
              <a:lnTo>
                <a:pt x="594360" y="0"/>
              </a:lnTo>
            </a:path>
          </a:pathLst>
        </a:custGeom>
        <a:noFill/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114300</xdr:colOff>
      <xdr:row>25</xdr:row>
      <xdr:rowOff>60960</xdr:rowOff>
    </xdr:from>
    <xdr:to>
      <xdr:col>14</xdr:col>
      <xdr:colOff>114300</xdr:colOff>
      <xdr:row>27</xdr:row>
      <xdr:rowOff>60960</xdr:rowOff>
    </xdr:to>
    <xdr:cxnSp macro="">
      <xdr:nvCxnSpPr>
        <xdr:cNvPr id="1046" name="直線コネクタ 1045">
          <a:extLst>
            <a:ext uri="{FF2B5EF4-FFF2-40B4-BE49-F238E27FC236}">
              <a16:creationId xmlns:a16="http://schemas.microsoft.com/office/drawing/2014/main" id="{D1697A0E-6DA3-7AEB-44E5-A36206F70BB5}"/>
            </a:ext>
          </a:extLst>
        </xdr:cNvPr>
        <xdr:cNvCxnSpPr/>
      </xdr:nvCxnSpPr>
      <xdr:spPr bwMode="auto">
        <a:xfrm flipV="1">
          <a:off x="3314700" y="4480560"/>
          <a:ext cx="0" cy="365760"/>
        </a:xfrm>
        <a:prstGeom prst="line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15</xdr:col>
      <xdr:colOff>3215</xdr:colOff>
      <xdr:row>22</xdr:row>
      <xdr:rowOff>125393</xdr:rowOff>
    </xdr:from>
    <xdr:to>
      <xdr:col>15</xdr:col>
      <xdr:colOff>178475</xdr:colOff>
      <xdr:row>22</xdr:row>
      <xdr:rowOff>126325</xdr:rowOff>
    </xdr:to>
    <xdr:cxnSp macro="">
      <xdr:nvCxnSpPr>
        <xdr:cNvPr id="1048" name="直線コネクタ 1047">
          <a:extLst>
            <a:ext uri="{FF2B5EF4-FFF2-40B4-BE49-F238E27FC236}">
              <a16:creationId xmlns:a16="http://schemas.microsoft.com/office/drawing/2014/main" id="{CEEA9972-FD6F-E05C-FBD7-1E851597B2F5}"/>
            </a:ext>
          </a:extLst>
        </xdr:cNvPr>
        <xdr:cNvCxnSpPr/>
      </xdr:nvCxnSpPr>
      <xdr:spPr bwMode="auto">
        <a:xfrm flipH="1" flipV="1">
          <a:off x="3398456" y="4009342"/>
          <a:ext cx="175260" cy="932"/>
        </a:xfrm>
        <a:prstGeom prst="line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069;&#36896;&#35506;/&#21152;&#24037;&#24037;&#31243;&#31649;&#29702;&#34920;&#12289;&#12503;&#12525;&#12464;&#12521;&#12512;/1%20&#21152;&#24037;&#24037;&#31243;&#34920;&#21407;&#32025;/&#20995;&#24037;&#20855;&#31649;&#29702;&#29992;/&#20995;&#24037;&#20855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刃物管理表"/>
      <sheetName val="リンクデータ新(ロック解除PASS　1111) "/>
      <sheetName val="棚番リンク🔒1111"/>
    </sheetNames>
    <sheetDataSet>
      <sheetData sheetId="0" refreshError="1"/>
      <sheetData sheetId="1" refreshError="1">
        <row r="2">
          <cell r="B2" t="str">
            <v>No</v>
          </cell>
          <cell r="C2" t="str">
            <v>品番</v>
          </cell>
        </row>
        <row r="3">
          <cell r="B3">
            <v>1</v>
          </cell>
          <cell r="C3" t="str">
            <v>CCET0602005MFR-U PR1725(京セラ)</v>
          </cell>
        </row>
        <row r="4">
          <cell r="B4">
            <v>2</v>
          </cell>
          <cell r="C4" t="str">
            <v>DCET11T3005MFR-U PR1725(京セラ)</v>
          </cell>
        </row>
        <row r="5">
          <cell r="B5">
            <v>3</v>
          </cell>
          <cell r="C5" t="str">
            <v>DCET11T301MFR-U PR1725(京セラ)</v>
          </cell>
        </row>
        <row r="6">
          <cell r="B6">
            <v>4</v>
          </cell>
          <cell r="C6" t="str">
            <v>DCET11T302MFR-U PR1725(京セラ)</v>
          </cell>
        </row>
        <row r="7">
          <cell r="B7">
            <v>5</v>
          </cell>
          <cell r="C7" t="str">
            <v>DCGT11T301MP-CF PR1725(京セラ)</v>
          </cell>
        </row>
        <row r="8">
          <cell r="B8">
            <v>6</v>
          </cell>
          <cell r="C8" t="str">
            <v>DCGT11T302MP-CF PR1725(京セラ)</v>
          </cell>
        </row>
        <row r="9">
          <cell r="B9">
            <v>7</v>
          </cell>
          <cell r="C9" t="str">
            <v>DCGT11T301MP-CK PR1725(京セラ)</v>
          </cell>
        </row>
        <row r="10">
          <cell r="B10">
            <v>8</v>
          </cell>
          <cell r="C10" t="str">
            <v>DCGT11T302MP-CK PR1725(京セラ)</v>
          </cell>
        </row>
        <row r="11">
          <cell r="B11">
            <v>9</v>
          </cell>
          <cell r="C11" t="str">
            <v>VPGT110301MP-CK PR1725(京セラ)</v>
          </cell>
        </row>
        <row r="12">
          <cell r="B12">
            <v>10</v>
          </cell>
          <cell r="C12" t="str">
            <v>VPGT110302MP-CK PR1725(京セラ)</v>
          </cell>
        </row>
        <row r="13">
          <cell r="B13">
            <v>11</v>
          </cell>
          <cell r="C13" t="str">
            <v>VBGT110301R-F KW10(京セラ)</v>
          </cell>
        </row>
        <row r="14">
          <cell r="B14">
            <v>12</v>
          </cell>
          <cell r="C14" t="str">
            <v>CCGT060201MCL TM4(NTK)</v>
          </cell>
        </row>
        <row r="15">
          <cell r="B15">
            <v>13</v>
          </cell>
          <cell r="C15" t="str">
            <v>DCGT11T301MCL TM4(NTK)</v>
          </cell>
        </row>
        <row r="16">
          <cell r="B16">
            <v>14</v>
          </cell>
          <cell r="C16" t="str">
            <v>DCGT11T302MCL TM4(NTK)</v>
          </cell>
        </row>
        <row r="17">
          <cell r="B17">
            <v>15</v>
          </cell>
          <cell r="C17" t="str">
            <v>DCGT11T301MYL TM4(NTK)</v>
          </cell>
        </row>
        <row r="18">
          <cell r="B18">
            <v>16</v>
          </cell>
          <cell r="C18" t="str">
            <v>TFD11FR05 VM1(NTK)</v>
          </cell>
        </row>
        <row r="19">
          <cell r="B19">
            <v>17</v>
          </cell>
          <cell r="C19" t="str">
            <v>DCGW11T300H KM1(NTK)</v>
          </cell>
        </row>
        <row r="20">
          <cell r="B20">
            <v>18</v>
          </cell>
          <cell r="C20" t="str">
            <v>VCGT110301MCL TM4(NTK)</v>
          </cell>
        </row>
        <row r="21">
          <cell r="B21">
            <v>19</v>
          </cell>
          <cell r="C21" t="str">
            <v>CCGT060200FN-JS SH725(タンガロイ)</v>
          </cell>
        </row>
        <row r="22">
          <cell r="B22">
            <v>20</v>
          </cell>
          <cell r="C22" t="str">
            <v>CCGT060202-AL KS05F(タンガロイ)</v>
          </cell>
        </row>
        <row r="23">
          <cell r="B23">
            <v>21</v>
          </cell>
          <cell r="C23" t="str">
            <v>DCGT11T302-AL KS05F(タンガロイ)</v>
          </cell>
        </row>
        <row r="24">
          <cell r="B24">
            <v>22</v>
          </cell>
          <cell r="C24" t="str">
            <v>DCGT11T301FN-JS SH725(タンガロイ)</v>
          </cell>
        </row>
        <row r="25">
          <cell r="B25">
            <v>23</v>
          </cell>
          <cell r="C25" t="str">
            <v>DCGT11T302FN-JS SH725(タンガロイ)</v>
          </cell>
        </row>
        <row r="26">
          <cell r="B26">
            <v>24</v>
          </cell>
          <cell r="C26" t="str">
            <v>CCGT060202M-SMG VP15TF(三菱)</v>
          </cell>
        </row>
        <row r="27">
          <cell r="B27">
            <v>25</v>
          </cell>
          <cell r="C27" t="str">
            <v>DCGT11T302M-SMG VP15TF(三菱)</v>
          </cell>
        </row>
        <row r="28">
          <cell r="B28">
            <v>26</v>
          </cell>
          <cell r="C28" t="str">
            <v>VPGT110301M-SMG VP15TF(三菱)</v>
          </cell>
        </row>
        <row r="29">
          <cell r="B29">
            <v>27</v>
          </cell>
          <cell r="C29" t="str">
            <v>VPGT110302M-SMG VP15TF(三菱)</v>
          </cell>
        </row>
        <row r="30">
          <cell r="B30">
            <v>28</v>
          </cell>
          <cell r="C30" t="str">
            <v>DCGT11T301MN-FC ACZ150(住友)</v>
          </cell>
        </row>
        <row r="31">
          <cell r="B31">
            <v>29</v>
          </cell>
          <cell r="C31" t="str">
            <v>VCGT110301MN-FC ACZ150(住友)</v>
          </cell>
        </row>
        <row r="32">
          <cell r="B32">
            <v>30</v>
          </cell>
          <cell r="C32" t="str">
            <v>VCGT110302N-AG(住友)</v>
          </cell>
        </row>
        <row r="33">
          <cell r="B33">
            <v>31</v>
          </cell>
          <cell r="C33" t="str">
            <v>()</v>
          </cell>
        </row>
        <row r="34">
          <cell r="B34">
            <v>32</v>
          </cell>
          <cell r="C34" t="str">
            <v>DCGT11T301-UM 5015(サンドピック)</v>
          </cell>
        </row>
        <row r="35">
          <cell r="B35">
            <v>33</v>
          </cell>
          <cell r="C35" t="str">
            <v>TNMG160402R-LD PR1535(京セラ)</v>
          </cell>
        </row>
        <row r="36">
          <cell r="B36">
            <v>34</v>
          </cell>
          <cell r="C36" t="str">
            <v>DCGT11T301MFP-SKS PR1725(京セラ)</v>
          </cell>
        </row>
        <row r="37">
          <cell r="B37">
            <v>35</v>
          </cell>
          <cell r="C37" t="str">
            <v>DCGT11T302MFP-SKS PR1725(京セラ)</v>
          </cell>
        </row>
        <row r="38">
          <cell r="B38">
            <v>36</v>
          </cell>
          <cell r="C38" t="str">
            <v>CCGT060201MFP-SKS PR1725(京セラ)</v>
          </cell>
        </row>
        <row r="39">
          <cell r="B39">
            <v>37</v>
          </cell>
          <cell r="C39" t="str">
            <v>CCGT060202MFP-SKS PR1725(京セラ)</v>
          </cell>
        </row>
        <row r="40">
          <cell r="B40">
            <v>38</v>
          </cell>
          <cell r="C40" t="str">
            <v>VPGT110301MFP-SKS PR1725(京セラ)</v>
          </cell>
        </row>
        <row r="41">
          <cell r="B41">
            <v>39</v>
          </cell>
          <cell r="C41" t="str">
            <v>VPGT110302MFP-SKS PR1725(京セラ)</v>
          </cell>
        </row>
        <row r="42">
          <cell r="B42">
            <v>40</v>
          </cell>
          <cell r="C42" t="str">
            <v>()</v>
          </cell>
        </row>
        <row r="43">
          <cell r="B43">
            <v>41</v>
          </cell>
          <cell r="C43" t="str">
            <v>()</v>
          </cell>
        </row>
        <row r="44">
          <cell r="B44">
            <v>42</v>
          </cell>
          <cell r="C44" t="str">
            <v>()</v>
          </cell>
        </row>
        <row r="45">
          <cell r="B45">
            <v>101</v>
          </cell>
          <cell r="C45" t="str">
            <v>ABS15R4005 PR930(京セラ)</v>
          </cell>
        </row>
        <row r="46">
          <cell r="B46">
            <v>102</v>
          </cell>
          <cell r="C46" t="str">
            <v>ABS15R4005 KW10(京セラ)</v>
          </cell>
        </row>
        <row r="47">
          <cell r="B47">
            <v>103</v>
          </cell>
          <cell r="C47" t="str">
            <v>TKFB12R28005-GQ PR1425(京セラ)</v>
          </cell>
        </row>
        <row r="48">
          <cell r="B48">
            <v>104</v>
          </cell>
          <cell r="C48" t="str">
            <v>TKFB12R15005M PR1725(京セラ)</v>
          </cell>
        </row>
        <row r="49">
          <cell r="B49">
            <v>105</v>
          </cell>
          <cell r="C49" t="str">
            <v>TBP72FR05-BM TM4(NTK)</v>
          </cell>
        </row>
        <row r="50">
          <cell r="B50">
            <v>106</v>
          </cell>
          <cell r="C50" t="str">
            <v>CSVB11FRV-C VM1(NTK)</v>
          </cell>
        </row>
        <row r="51">
          <cell r="B51">
            <v>107</v>
          </cell>
          <cell r="C51" t="str">
            <v>CSVB11FRV12 VM1(NTK)</v>
          </cell>
        </row>
        <row r="52">
          <cell r="B52">
            <v>108</v>
          </cell>
          <cell r="C52" t="str">
            <v>CSVB11FRV14 VM1(NTK)</v>
          </cell>
        </row>
        <row r="53">
          <cell r="B53">
            <v>109</v>
          </cell>
          <cell r="C53" t="str">
            <v>CSVB11FRVB14 VM1(NTK)</v>
          </cell>
        </row>
        <row r="54">
          <cell r="B54">
            <v>110</v>
          </cell>
          <cell r="C54" t="str">
            <v>763S05-TIALN(アプリテック)</v>
          </cell>
        </row>
        <row r="55">
          <cell r="B55">
            <v>111</v>
          </cell>
          <cell r="C55" t="str">
            <v>TBP72FR05-BM ST4(NTK)</v>
          </cell>
        </row>
        <row r="56">
          <cell r="B56">
            <v>112</v>
          </cell>
          <cell r="C56" t="str">
            <v>()</v>
          </cell>
        </row>
        <row r="57">
          <cell r="B57">
            <v>113</v>
          </cell>
          <cell r="C57" t="str">
            <v>()</v>
          </cell>
        </row>
        <row r="58">
          <cell r="B58">
            <v>114</v>
          </cell>
          <cell r="C58" t="str">
            <v>()</v>
          </cell>
        </row>
        <row r="59">
          <cell r="B59">
            <v>201</v>
          </cell>
          <cell r="C59" t="str">
            <v>TTP60FR2A ZM3(NTK)</v>
          </cell>
        </row>
        <row r="60">
          <cell r="B60">
            <v>202</v>
          </cell>
          <cell r="C60" t="str">
            <v>TTP60FR2B ZM3(NTK)</v>
          </cell>
        </row>
        <row r="61">
          <cell r="B61">
            <v>203</v>
          </cell>
          <cell r="C61" t="str">
            <v>TTP60FR4A ZM3(NTK)</v>
          </cell>
        </row>
        <row r="62">
          <cell r="B62">
            <v>204</v>
          </cell>
          <cell r="C62" t="str">
            <v>TTP60FR4B ZM3(NTK)</v>
          </cell>
        </row>
        <row r="63">
          <cell r="B63">
            <v>205</v>
          </cell>
          <cell r="C63" t="str">
            <v>TTP60FR8A ZM3(NTK)</v>
          </cell>
        </row>
        <row r="64">
          <cell r="B64">
            <v>206</v>
          </cell>
          <cell r="C64" t="str">
            <v>TTP60FR8B ZM3(NTK)</v>
          </cell>
        </row>
        <row r="65">
          <cell r="B65">
            <v>207</v>
          </cell>
          <cell r="C65" t="str">
            <v>TTP60FR-N ZM3(NTK)</v>
          </cell>
        </row>
        <row r="66">
          <cell r="B66">
            <v>208</v>
          </cell>
          <cell r="C66" t="str">
            <v>TTP55FR8A ZM3(NTK)</v>
          </cell>
        </row>
        <row r="67">
          <cell r="B67">
            <v>209</v>
          </cell>
          <cell r="C67" t="str">
            <v>TTP55FR8B ZM3(NTK)</v>
          </cell>
        </row>
        <row r="68">
          <cell r="B68">
            <v>210</v>
          </cell>
          <cell r="C68" t="str">
            <v>TTX32R6001 PR1115(京セラ)</v>
          </cell>
        </row>
        <row r="69">
          <cell r="B69">
            <v>211</v>
          </cell>
          <cell r="C69" t="str">
            <v>VNTR045-11 PR930(京セラ)</v>
          </cell>
        </row>
        <row r="70">
          <cell r="B70">
            <v>212</v>
          </cell>
          <cell r="C70" t="str">
            <v>VNTR060-11 PR1225(京セラ)</v>
          </cell>
        </row>
        <row r="71">
          <cell r="B71">
            <v>213</v>
          </cell>
          <cell r="C71" t="str">
            <v>12ERAA60 K20C(クワッドカット)</v>
          </cell>
        </row>
        <row r="72">
          <cell r="B72">
            <v>214</v>
          </cell>
          <cell r="C72" t="str">
            <v>12XA60 T10C(クワッドカット)</v>
          </cell>
        </row>
        <row r="73">
          <cell r="B73">
            <v>215</v>
          </cell>
          <cell r="C73" t="str">
            <v>12XA55 T10C(クワッドカット)</v>
          </cell>
        </row>
        <row r="74">
          <cell r="B74">
            <v>216</v>
          </cell>
          <cell r="C74" t="str">
            <v>08IRA60 IC228(イスカル)</v>
          </cell>
        </row>
        <row r="75">
          <cell r="B75">
            <v>217</v>
          </cell>
          <cell r="C75" t="str">
            <v>08IRA55 IC228(イスカル)</v>
          </cell>
        </row>
        <row r="76">
          <cell r="B76">
            <v>218</v>
          </cell>
          <cell r="C76" t="str">
            <v>11IRA60 IC908(イスカル)</v>
          </cell>
        </row>
        <row r="77">
          <cell r="B77">
            <v>219</v>
          </cell>
          <cell r="C77" t="str">
            <v>12ER0.5ISO K20C(クワッドカット)</v>
          </cell>
        </row>
        <row r="78">
          <cell r="B78">
            <v>220</v>
          </cell>
          <cell r="C78" t="str">
            <v>12ER0.75ISO K20C(クワッドカット)</v>
          </cell>
        </row>
        <row r="79">
          <cell r="B79">
            <v>221</v>
          </cell>
          <cell r="C79" t="str">
            <v>12E1.0ISO T10C(クワッドカット)</v>
          </cell>
        </row>
        <row r="80">
          <cell r="B80">
            <v>222</v>
          </cell>
          <cell r="C80" t="str">
            <v>12ER1.0ISO2M T10C(クワッドカット)</v>
          </cell>
        </row>
        <row r="81">
          <cell r="B81">
            <v>223</v>
          </cell>
          <cell r="C81" t="str">
            <v>()</v>
          </cell>
        </row>
        <row r="82">
          <cell r="B82">
            <v>224</v>
          </cell>
          <cell r="C82" t="str">
            <v>()</v>
          </cell>
        </row>
        <row r="83">
          <cell r="B83">
            <v>225</v>
          </cell>
          <cell r="C83" t="str">
            <v>()</v>
          </cell>
        </row>
        <row r="84">
          <cell r="B84">
            <v>226</v>
          </cell>
          <cell r="C84" t="str">
            <v>()</v>
          </cell>
        </row>
        <row r="85">
          <cell r="B85">
            <v>227</v>
          </cell>
          <cell r="C85" t="str">
            <v>()</v>
          </cell>
        </row>
        <row r="86">
          <cell r="B86">
            <v>301</v>
          </cell>
          <cell r="C86" t="str">
            <v>GTMH32033RVT VM1(NTK)</v>
          </cell>
        </row>
        <row r="87">
          <cell r="B87">
            <v>302</v>
          </cell>
          <cell r="C87" t="str">
            <v>GTMH32043RVT VM1(NTK)</v>
          </cell>
        </row>
        <row r="88">
          <cell r="B88">
            <v>303</v>
          </cell>
          <cell r="C88" t="str">
            <v>GTMH32053RVT VM1(NTK)</v>
          </cell>
        </row>
        <row r="89">
          <cell r="B89">
            <v>304</v>
          </cell>
          <cell r="C89" t="str">
            <v>GTMH32075RVT VM1(NTK)</v>
          </cell>
        </row>
        <row r="90">
          <cell r="B90">
            <v>305</v>
          </cell>
          <cell r="C90" t="str">
            <v>GTMH32100RVT VM1(NTK)</v>
          </cell>
        </row>
        <row r="91">
          <cell r="B91">
            <v>306</v>
          </cell>
          <cell r="C91" t="str">
            <v>GTMH32150RVT VM1(NTK)</v>
          </cell>
        </row>
        <row r="92">
          <cell r="B92">
            <v>307</v>
          </cell>
          <cell r="C92" t="str">
            <v>GTMH32200RVT VM1(NTK)</v>
          </cell>
        </row>
        <row r="93">
          <cell r="B93">
            <v>308</v>
          </cell>
          <cell r="C93" t="str">
            <v>GTMH32033RGX TM4(NTK)</v>
          </cell>
        </row>
        <row r="94">
          <cell r="B94">
            <v>309</v>
          </cell>
          <cell r="C94" t="str">
            <v>GTMH32043RGX TM4(NTK)</v>
          </cell>
        </row>
        <row r="95">
          <cell r="B95">
            <v>310</v>
          </cell>
          <cell r="C95" t="str">
            <v>GTMH32053RGX TM4(NTK)</v>
          </cell>
        </row>
        <row r="96">
          <cell r="B96">
            <v>311</v>
          </cell>
          <cell r="C96" t="str">
            <v>GTMH32075RGX TM4(NTK)</v>
          </cell>
        </row>
        <row r="97">
          <cell r="B97">
            <v>312</v>
          </cell>
          <cell r="C97" t="str">
            <v>GTMH32095RGX TM4(NTK)</v>
          </cell>
        </row>
        <row r="98">
          <cell r="B98">
            <v>313</v>
          </cell>
          <cell r="C98" t="str">
            <v>GTMH32150RGX TM4(NTK)</v>
          </cell>
        </row>
        <row r="99">
          <cell r="B99">
            <v>314</v>
          </cell>
          <cell r="C99" t="str">
            <v>GTMH32200RGX DM4(NTK)</v>
          </cell>
        </row>
        <row r="100">
          <cell r="B100">
            <v>315</v>
          </cell>
          <cell r="C100" t="str">
            <v>GWPG300N02D-GW DM4(NTK)</v>
          </cell>
        </row>
        <row r="101">
          <cell r="B101">
            <v>316</v>
          </cell>
          <cell r="C101" t="str">
            <v>GWPG600N02G-GW DM4(NTK)</v>
          </cell>
        </row>
        <row r="102">
          <cell r="B102">
            <v>317</v>
          </cell>
          <cell r="C102" t="str">
            <v>764VS-1.0-TIALN(アプリテック)</v>
          </cell>
        </row>
        <row r="103">
          <cell r="B103">
            <v>318</v>
          </cell>
          <cell r="C103" t="str">
            <v>764VS-1.2-TIALN(アプリテック)</v>
          </cell>
        </row>
        <row r="104">
          <cell r="B104">
            <v>319</v>
          </cell>
          <cell r="C104" t="str">
            <v>764VS-1.5-TIALN(アプリテック)</v>
          </cell>
        </row>
        <row r="105">
          <cell r="B105">
            <v>320</v>
          </cell>
          <cell r="C105" t="str">
            <v>764VS-2.0-TIALN(アプリテック)</v>
          </cell>
        </row>
        <row r="106">
          <cell r="B106">
            <v>321</v>
          </cell>
          <cell r="C106" t="str">
            <v>764VS-2.5-TIALN(アプリテック)</v>
          </cell>
        </row>
        <row r="107">
          <cell r="B107">
            <v>322</v>
          </cell>
          <cell r="C107" t="str">
            <v>764-1.2-TIALN(アプリテック)</v>
          </cell>
        </row>
        <row r="108">
          <cell r="B108">
            <v>323</v>
          </cell>
          <cell r="C108" t="str">
            <v>764-2.5-TIALN(アプリテック)</v>
          </cell>
        </row>
        <row r="109">
          <cell r="B109">
            <v>324</v>
          </cell>
          <cell r="C109" t="str">
            <v>764ZX10-2.0-R08-TIALN(アプリテック)</v>
          </cell>
        </row>
        <row r="110">
          <cell r="B110">
            <v>325</v>
          </cell>
          <cell r="C110" t="str">
            <v>TWFGTR180 PR1025(京セラ)</v>
          </cell>
        </row>
        <row r="111">
          <cell r="B111">
            <v>326</v>
          </cell>
          <cell r="C111" t="str">
            <v>TWFGL100 PR1025(京セラ)</v>
          </cell>
        </row>
        <row r="112">
          <cell r="B112">
            <v>327</v>
          </cell>
          <cell r="C112" t="str">
            <v>TWFGL180 PR1025(京セラ)</v>
          </cell>
        </row>
        <row r="113">
          <cell r="B113">
            <v>328</v>
          </cell>
          <cell r="C113" t="str">
            <v>GTMX32V90R005 TM4(NTK)</v>
          </cell>
        </row>
        <row r="114">
          <cell r="B114">
            <v>329</v>
          </cell>
          <cell r="C114" t="str">
            <v>GTMH32300RGX DM4(NTK)</v>
          </cell>
        </row>
        <row r="115">
          <cell r="B115">
            <v>330</v>
          </cell>
          <cell r="C115" t="str">
            <v>()</v>
          </cell>
        </row>
        <row r="116">
          <cell r="B116">
            <v>331</v>
          </cell>
          <cell r="C116" t="str">
            <v>()</v>
          </cell>
        </row>
        <row r="117">
          <cell r="B117">
            <v>332</v>
          </cell>
          <cell r="C117" t="str">
            <v>()</v>
          </cell>
        </row>
        <row r="118">
          <cell r="B118">
            <v>333</v>
          </cell>
          <cell r="C118" t="str">
            <v>()</v>
          </cell>
        </row>
        <row r="119">
          <cell r="B119">
            <v>401</v>
          </cell>
          <cell r="C119" t="str">
            <v>CTP10FRV VM1(NTK)</v>
          </cell>
        </row>
        <row r="120">
          <cell r="B120">
            <v>402</v>
          </cell>
          <cell r="C120" t="str">
            <v>CTP10FLK ZM3(NTK)</v>
          </cell>
        </row>
        <row r="121">
          <cell r="B121">
            <v>403</v>
          </cell>
          <cell r="C121" t="str">
            <v>CTP15FRV VM1(NTK)</v>
          </cell>
        </row>
        <row r="122">
          <cell r="B122">
            <v>404</v>
          </cell>
          <cell r="C122" t="str">
            <v>CTP15FLK VM1(NTK)</v>
          </cell>
        </row>
        <row r="123">
          <cell r="B123">
            <v>405</v>
          </cell>
          <cell r="C123" t="str">
            <v>CTP15FLKV VM1(NTK)</v>
          </cell>
        </row>
        <row r="124">
          <cell r="B124">
            <v>406</v>
          </cell>
          <cell r="C124" t="str">
            <v>CTP20FRV VM1(NTK)</v>
          </cell>
        </row>
        <row r="125">
          <cell r="B125">
            <v>407</v>
          </cell>
          <cell r="C125" t="str">
            <v>CTP20FLK VM1(NTK)</v>
          </cell>
        </row>
        <row r="126">
          <cell r="B126">
            <v>408</v>
          </cell>
          <cell r="C126" t="str">
            <v>CTP15FR-CX DM4(NTK)</v>
          </cell>
        </row>
        <row r="127">
          <cell r="B127">
            <v>409</v>
          </cell>
          <cell r="C127" t="str">
            <v>CTP15FRN-CX DM4(NTK)</v>
          </cell>
        </row>
        <row r="128">
          <cell r="B128">
            <v>410</v>
          </cell>
          <cell r="C128" t="str">
            <v>CTP15FLK-CX DM4(NTK)</v>
          </cell>
        </row>
        <row r="129">
          <cell r="B129">
            <v>411</v>
          </cell>
          <cell r="C129" t="str">
            <v>CTP15FLN-CX DM4(NTK)</v>
          </cell>
        </row>
        <row r="130">
          <cell r="B130">
            <v>412</v>
          </cell>
          <cell r="C130" t="str">
            <v>GDM1516N-015PF PR1535(京セラ)</v>
          </cell>
        </row>
        <row r="131">
          <cell r="B131">
            <v>413</v>
          </cell>
          <cell r="C131" t="str">
            <v>GDM2020N-010PQ PR1535(京セラ)</v>
          </cell>
        </row>
        <row r="132">
          <cell r="B132">
            <v>414</v>
          </cell>
          <cell r="C132" t="str">
            <v>GDM3020N-010PQ PR1535(京セラ)</v>
          </cell>
        </row>
        <row r="133">
          <cell r="B133">
            <v>415</v>
          </cell>
          <cell r="C133" t="str">
            <v>DGR1500JSS-15D IC908(イスカル)</v>
          </cell>
        </row>
        <row r="134">
          <cell r="B134">
            <v>416</v>
          </cell>
          <cell r="C134" t="str">
            <v>DGR2200JSS-15D IC908(イスカル)</v>
          </cell>
        </row>
        <row r="135">
          <cell r="B135">
            <v>417</v>
          </cell>
          <cell r="C135" t="str">
            <v>DGR3100JSS-15D IC908(イスカル)</v>
          </cell>
        </row>
        <row r="136">
          <cell r="B136">
            <v>418</v>
          </cell>
          <cell r="C136" t="str">
            <v>GDM1516R-003PF-15D PR1535(京セラ)</v>
          </cell>
        </row>
        <row r="137">
          <cell r="B137">
            <v>419</v>
          </cell>
          <cell r="C137" t="str">
            <v>()</v>
          </cell>
        </row>
        <row r="138">
          <cell r="B138">
            <v>420</v>
          </cell>
          <cell r="C138" t="str">
            <v>()</v>
          </cell>
        </row>
        <row r="139">
          <cell r="B139">
            <v>421</v>
          </cell>
          <cell r="C139" t="str">
            <v>()</v>
          </cell>
        </row>
        <row r="140">
          <cell r="B140">
            <v>422</v>
          </cell>
          <cell r="C140" t="str">
            <v>()</v>
          </cell>
        </row>
        <row r="141">
          <cell r="B141">
            <v>423</v>
          </cell>
          <cell r="C141" t="str">
            <v>()</v>
          </cell>
        </row>
        <row r="142">
          <cell r="B142">
            <v>424</v>
          </cell>
          <cell r="C142" t="str">
            <v>()</v>
          </cell>
        </row>
        <row r="143">
          <cell r="B143">
            <v>425</v>
          </cell>
          <cell r="C143" t="str">
            <v>()</v>
          </cell>
        </row>
        <row r="144">
          <cell r="B144">
            <v>501</v>
          </cell>
          <cell r="C144" t="str">
            <v>TA-180306-L1(CJV)</v>
          </cell>
        </row>
        <row r="145">
          <cell r="B145">
            <v>502</v>
          </cell>
          <cell r="C145" t="str">
            <v>TA-180306-L2(CJV)</v>
          </cell>
        </row>
        <row r="146">
          <cell r="B146">
            <v>503</v>
          </cell>
          <cell r="C146" t="str">
            <v>TA-180306-L3(CJV)</v>
          </cell>
        </row>
        <row r="147">
          <cell r="B147">
            <v>504</v>
          </cell>
          <cell r="C147" t="str">
            <v>TA-180306-L4(CJV)</v>
          </cell>
        </row>
        <row r="148">
          <cell r="B148">
            <v>505</v>
          </cell>
          <cell r="C148" t="str">
            <v>TA-180306-L5(CJV)</v>
          </cell>
        </row>
        <row r="149">
          <cell r="B149">
            <v>506</v>
          </cell>
          <cell r="C149" t="str">
            <v>CCET0301005ML-F PR1725(京セラ)</v>
          </cell>
        </row>
        <row r="150">
          <cell r="B150">
            <v>507</v>
          </cell>
          <cell r="C150" t="str">
            <v>CCGT030101MP-CF PR1725(京セラ)</v>
          </cell>
        </row>
        <row r="151">
          <cell r="B151">
            <v>508</v>
          </cell>
          <cell r="C151" t="str">
            <v>CCET040101ML-F PR1725(京セラ)</v>
          </cell>
        </row>
        <row r="152">
          <cell r="B152">
            <v>509</v>
          </cell>
          <cell r="C152" t="str">
            <v>CCET040102ML-F PR1725(京セラ)</v>
          </cell>
        </row>
        <row r="153">
          <cell r="B153">
            <v>510</v>
          </cell>
          <cell r="C153" t="str">
            <v>CCET0602005MFL-U PR1535(京セラ)</v>
          </cell>
        </row>
        <row r="154">
          <cell r="B154">
            <v>511</v>
          </cell>
          <cell r="C154" t="str">
            <v>CCET060201MFL-U PR1725(京セラ)</v>
          </cell>
        </row>
        <row r="155">
          <cell r="B155">
            <v>512</v>
          </cell>
          <cell r="C155" t="str">
            <v>CCET060202MFL-U PR1725(京セラ)</v>
          </cell>
        </row>
        <row r="156">
          <cell r="B156">
            <v>513</v>
          </cell>
          <cell r="C156" t="str">
            <v>CCGT03X100L-W08 TH10(タンガロイ)</v>
          </cell>
        </row>
        <row r="157">
          <cell r="B157">
            <v>514</v>
          </cell>
          <cell r="C157" t="str">
            <v>CCGT04T100L-W08 TH10(タンガロイ)</v>
          </cell>
        </row>
        <row r="158">
          <cell r="B158">
            <v>515</v>
          </cell>
          <cell r="C158" t="str">
            <v>CCGT060200FL-J10 TH10(タンガロイ)</v>
          </cell>
        </row>
        <row r="159">
          <cell r="B159">
            <v>516</v>
          </cell>
          <cell r="C159" t="str">
            <v>XCMT040104R-MF IC908(イスカル)</v>
          </cell>
        </row>
        <row r="160">
          <cell r="B160">
            <v>517</v>
          </cell>
          <cell r="C160" t="str">
            <v>XCMT050204-MF IC908(イスカル)</v>
          </cell>
        </row>
        <row r="161">
          <cell r="B161">
            <v>518</v>
          </cell>
          <cell r="C161" t="str">
            <v>CCGT03X101F-JS SH725(タンガロイ)</v>
          </cell>
        </row>
        <row r="162">
          <cell r="B162">
            <v>519</v>
          </cell>
          <cell r="C162" t="str">
            <v>CCGT03X102F-JS SH725(タンガロイ)</v>
          </cell>
        </row>
        <row r="163">
          <cell r="B163">
            <v>520</v>
          </cell>
          <cell r="C163" t="str">
            <v>CCGT04T101F-JS SH725(タンガロイ)</v>
          </cell>
        </row>
        <row r="164">
          <cell r="B164">
            <v>521</v>
          </cell>
          <cell r="C164" t="str">
            <v>CCGT04T102F-JS SH725(タンガロイ)</v>
          </cell>
        </row>
        <row r="165">
          <cell r="B165">
            <v>522</v>
          </cell>
          <cell r="C165" t="str">
            <v>SHFS020R005H TM4(NTK)</v>
          </cell>
        </row>
        <row r="166">
          <cell r="B166">
            <v>523</v>
          </cell>
          <cell r="C166" t="str">
            <v>SHFS025R005H TM4(NTK)</v>
          </cell>
        </row>
        <row r="167">
          <cell r="B167">
            <v>524</v>
          </cell>
          <cell r="C167" t="str">
            <v>SHFS030R005H TM4(NTK)</v>
          </cell>
        </row>
        <row r="168">
          <cell r="B168">
            <v>525</v>
          </cell>
          <cell r="C168" t="str">
            <v>SHFS040R005H TM4(NTK)</v>
          </cell>
        </row>
        <row r="169">
          <cell r="B169">
            <v>526</v>
          </cell>
          <cell r="C169" t="str">
            <v>()</v>
          </cell>
        </row>
        <row r="170">
          <cell r="B170">
            <v>601</v>
          </cell>
          <cell r="C170" t="str">
            <v>CZH04005CFR-070 ZM3(NTK)</v>
          </cell>
        </row>
        <row r="171">
          <cell r="B171">
            <v>602</v>
          </cell>
          <cell r="C171" t="str">
            <v>CZH04005CFR-BL DM4(NTK)</v>
          </cell>
        </row>
        <row r="172">
          <cell r="B172">
            <v>603</v>
          </cell>
          <cell r="C172" t="str">
            <v>RWEM030H4R00S04 AC3(NTK)</v>
          </cell>
        </row>
        <row r="173">
          <cell r="B173">
            <v>604</v>
          </cell>
          <cell r="C173" t="str">
            <v>RWEM040H4R00S04 AC3(NTK)</v>
          </cell>
        </row>
        <row r="174">
          <cell r="B174">
            <v>605</v>
          </cell>
          <cell r="C174" t="str">
            <v>RWEM050H4R00S06 AC3(NTK)</v>
          </cell>
        </row>
        <row r="175">
          <cell r="B175">
            <v>606</v>
          </cell>
          <cell r="C175" t="str">
            <v>RWEM060H4R00S06 AC3(NTK)</v>
          </cell>
        </row>
        <row r="176">
          <cell r="B176">
            <v>607</v>
          </cell>
          <cell r="C176" t="str">
            <v>RWEM080H4R00S08 AC3(NTK)</v>
          </cell>
        </row>
        <row r="177">
          <cell r="B177">
            <v>608</v>
          </cell>
          <cell r="C177" t="str">
            <v>RWEM100H4R00S10 AC3(NTK)</v>
          </cell>
        </row>
        <row r="178">
          <cell r="B178">
            <v>609</v>
          </cell>
          <cell r="C178" t="str">
            <v>()</v>
          </cell>
        </row>
        <row r="179">
          <cell r="B179">
            <v>610</v>
          </cell>
          <cell r="C179" t="str">
            <v>()</v>
          </cell>
        </row>
        <row r="180">
          <cell r="B180">
            <v>611</v>
          </cell>
          <cell r="C180" t="str">
            <v>()</v>
          </cell>
        </row>
        <row r="181">
          <cell r="B181">
            <v>612</v>
          </cell>
          <cell r="C181" t="str">
            <v>()</v>
          </cell>
        </row>
        <row r="182">
          <cell r="B182">
            <v>613</v>
          </cell>
          <cell r="C182" t="str">
            <v>()</v>
          </cell>
        </row>
        <row r="183">
          <cell r="B183">
            <v>701</v>
          </cell>
          <cell r="C183" t="str">
            <v>AGSTD3.0-90(NACHI)</v>
          </cell>
        </row>
        <row r="184">
          <cell r="B184">
            <v>702</v>
          </cell>
          <cell r="C184" t="str">
            <v>AGSTD4.0-90(NACHI)</v>
          </cell>
        </row>
        <row r="185">
          <cell r="B185">
            <v>703</v>
          </cell>
          <cell r="C185" t="str">
            <v>AGSTD5.0-90(NACHI)</v>
          </cell>
        </row>
        <row r="186">
          <cell r="B186">
            <v>704</v>
          </cell>
          <cell r="C186" t="str">
            <v>AGSTD6.0-90(NACHI)</v>
          </cell>
        </row>
        <row r="187">
          <cell r="B187">
            <v>705</v>
          </cell>
          <cell r="C187" t="str">
            <v>AGSTD8.0-90(NACHI)</v>
          </cell>
        </row>
        <row r="188">
          <cell r="B188">
            <v>706</v>
          </cell>
          <cell r="C188" t="str">
            <v>AGSTD10.0-90(NACHI)</v>
          </cell>
        </row>
        <row r="189">
          <cell r="B189">
            <v>707</v>
          </cell>
          <cell r="C189" t="str">
            <v>()</v>
          </cell>
        </row>
        <row r="190">
          <cell r="B190">
            <v>708</v>
          </cell>
          <cell r="C190" t="str">
            <v>()</v>
          </cell>
        </row>
        <row r="191">
          <cell r="B191">
            <v>709</v>
          </cell>
          <cell r="C191" t="str">
            <v>()</v>
          </cell>
        </row>
        <row r="192">
          <cell r="B192">
            <v>710</v>
          </cell>
          <cell r="C192" t="str">
            <v>()</v>
          </cell>
        </row>
        <row r="193">
          <cell r="B193" t="str">
            <v/>
          </cell>
          <cell r="C193" t="str">
            <v>()</v>
          </cell>
        </row>
        <row r="194">
          <cell r="B194" t="str">
            <v/>
          </cell>
          <cell r="C194" t="str">
            <v>()</v>
          </cell>
        </row>
        <row r="195">
          <cell r="B195" t="str">
            <v/>
          </cell>
          <cell r="C195" t="str">
            <v>()</v>
          </cell>
        </row>
        <row r="196">
          <cell r="B196" t="str">
            <v/>
          </cell>
          <cell r="C196" t="str">
            <v>()</v>
          </cell>
        </row>
        <row r="197">
          <cell r="B197" t="str">
            <v/>
          </cell>
          <cell r="C197" t="str">
            <v>()</v>
          </cell>
        </row>
        <row r="198">
          <cell r="B198" t="str">
            <v/>
          </cell>
          <cell r="C198" t="str">
            <v>()</v>
          </cell>
        </row>
        <row r="199">
          <cell r="B199" t="str">
            <v/>
          </cell>
          <cell r="C199" t="str">
            <v>()</v>
          </cell>
        </row>
        <row r="200">
          <cell r="B200" t="str">
            <v/>
          </cell>
          <cell r="C200" t="str">
            <v>()</v>
          </cell>
        </row>
        <row r="201">
          <cell r="B201" t="str">
            <v/>
          </cell>
          <cell r="C201" t="str">
            <v>()</v>
          </cell>
        </row>
        <row r="202">
          <cell r="B202" t="str">
            <v/>
          </cell>
          <cell r="C202" t="str">
            <v>()</v>
          </cell>
        </row>
        <row r="203">
          <cell r="B203" t="str">
            <v/>
          </cell>
          <cell r="C203" t="str">
            <v>()</v>
          </cell>
        </row>
        <row r="204">
          <cell r="B204" t="str">
            <v/>
          </cell>
          <cell r="C204" t="str">
            <v>()</v>
          </cell>
        </row>
        <row r="205">
          <cell r="B205" t="str">
            <v/>
          </cell>
          <cell r="C205" t="str">
            <v>()</v>
          </cell>
        </row>
        <row r="206">
          <cell r="B206" t="str">
            <v/>
          </cell>
          <cell r="C206" t="str">
            <v>()</v>
          </cell>
        </row>
        <row r="207">
          <cell r="B207" t="str">
            <v/>
          </cell>
          <cell r="C207" t="str">
            <v>()</v>
          </cell>
        </row>
        <row r="208">
          <cell r="B208" t="str">
            <v/>
          </cell>
          <cell r="C208" t="str">
            <v>()</v>
          </cell>
        </row>
        <row r="209">
          <cell r="B209" t="str">
            <v/>
          </cell>
          <cell r="C209" t="str">
            <v>()</v>
          </cell>
        </row>
        <row r="210">
          <cell r="B210" t="str">
            <v/>
          </cell>
          <cell r="C210" t="str">
            <v>()</v>
          </cell>
        </row>
        <row r="211">
          <cell r="B211" t="str">
            <v/>
          </cell>
          <cell r="C211" t="str">
            <v>()</v>
          </cell>
        </row>
        <row r="212">
          <cell r="B212" t="str">
            <v/>
          </cell>
          <cell r="C212" t="str">
            <v>()</v>
          </cell>
        </row>
        <row r="213">
          <cell r="B213" t="str">
            <v/>
          </cell>
          <cell r="C213" t="str">
            <v>()</v>
          </cell>
        </row>
        <row r="214">
          <cell r="B214" t="str">
            <v/>
          </cell>
          <cell r="C214" t="str">
            <v>()</v>
          </cell>
        </row>
        <row r="215">
          <cell r="B215" t="str">
            <v/>
          </cell>
          <cell r="C215" t="str">
            <v>()</v>
          </cell>
        </row>
        <row r="216">
          <cell r="B216" t="str">
            <v/>
          </cell>
          <cell r="C216" t="str">
            <v>()</v>
          </cell>
        </row>
        <row r="217">
          <cell r="B217" t="str">
            <v/>
          </cell>
          <cell r="C217" t="str">
            <v>()</v>
          </cell>
        </row>
        <row r="218">
          <cell r="B218" t="str">
            <v/>
          </cell>
          <cell r="C218" t="str">
            <v>()</v>
          </cell>
        </row>
        <row r="219">
          <cell r="B219" t="str">
            <v/>
          </cell>
          <cell r="C219" t="str">
            <v>()</v>
          </cell>
        </row>
        <row r="220">
          <cell r="B220" t="str">
            <v/>
          </cell>
          <cell r="C220" t="str">
            <v>()</v>
          </cell>
        </row>
        <row r="221">
          <cell r="B221" t="str">
            <v/>
          </cell>
          <cell r="C221" t="str">
            <v>()</v>
          </cell>
        </row>
        <row r="222">
          <cell r="B222" t="str">
            <v/>
          </cell>
          <cell r="C222" t="str">
            <v>()</v>
          </cell>
        </row>
        <row r="223">
          <cell r="B223" t="str">
            <v/>
          </cell>
          <cell r="C223" t="str">
            <v>()</v>
          </cell>
        </row>
        <row r="224">
          <cell r="B224" t="str">
            <v/>
          </cell>
          <cell r="C224" t="str">
            <v>()</v>
          </cell>
        </row>
        <row r="225">
          <cell r="B225" t="str">
            <v/>
          </cell>
          <cell r="C225" t="str">
            <v>()</v>
          </cell>
        </row>
        <row r="226">
          <cell r="B226" t="str">
            <v/>
          </cell>
          <cell r="C226" t="str">
            <v>()</v>
          </cell>
        </row>
        <row r="227">
          <cell r="B227" t="str">
            <v/>
          </cell>
          <cell r="C227" t="str">
            <v>()</v>
          </cell>
        </row>
        <row r="228">
          <cell r="B228" t="str">
            <v/>
          </cell>
          <cell r="C228" t="str">
            <v>()</v>
          </cell>
        </row>
        <row r="229">
          <cell r="B229" t="str">
            <v/>
          </cell>
          <cell r="C229" t="str">
            <v>()</v>
          </cell>
        </row>
        <row r="230">
          <cell r="B230" t="str">
            <v/>
          </cell>
          <cell r="C230" t="str">
            <v>()</v>
          </cell>
        </row>
        <row r="231">
          <cell r="B231" t="str">
            <v/>
          </cell>
          <cell r="C231" t="str">
            <v>()</v>
          </cell>
        </row>
        <row r="232">
          <cell r="B232" t="str">
            <v/>
          </cell>
          <cell r="C232" t="str">
            <v>()</v>
          </cell>
        </row>
        <row r="233">
          <cell r="B233" t="str">
            <v/>
          </cell>
          <cell r="C233" t="str">
            <v>()</v>
          </cell>
        </row>
        <row r="234">
          <cell r="B234" t="str">
            <v/>
          </cell>
          <cell r="C234" t="str">
            <v>()</v>
          </cell>
        </row>
        <row r="235">
          <cell r="B235" t="str">
            <v/>
          </cell>
          <cell r="C235" t="str">
            <v>()</v>
          </cell>
        </row>
        <row r="236">
          <cell r="B236" t="str">
            <v/>
          </cell>
          <cell r="C236" t="str">
            <v>()</v>
          </cell>
        </row>
        <row r="237">
          <cell r="B237" t="str">
            <v/>
          </cell>
          <cell r="C237" t="str">
            <v>()</v>
          </cell>
        </row>
        <row r="238">
          <cell r="B238" t="str">
            <v/>
          </cell>
          <cell r="C238" t="str">
            <v>()</v>
          </cell>
        </row>
        <row r="239">
          <cell r="B239" t="str">
            <v/>
          </cell>
          <cell r="C239" t="str">
            <v>()</v>
          </cell>
        </row>
        <row r="240">
          <cell r="B240" t="str">
            <v/>
          </cell>
          <cell r="C240" t="str">
            <v>()</v>
          </cell>
        </row>
        <row r="241">
          <cell r="B241" t="str">
            <v/>
          </cell>
          <cell r="C241" t="str">
            <v>()</v>
          </cell>
        </row>
        <row r="242">
          <cell r="B242" t="str">
            <v/>
          </cell>
          <cell r="C242" t="str">
            <v>()</v>
          </cell>
        </row>
        <row r="243">
          <cell r="B243" t="str">
            <v/>
          </cell>
          <cell r="C243" t="str">
            <v>()</v>
          </cell>
        </row>
        <row r="244">
          <cell r="B244" t="str">
            <v/>
          </cell>
          <cell r="C244" t="str">
            <v>()</v>
          </cell>
        </row>
        <row r="245">
          <cell r="B245" t="str">
            <v/>
          </cell>
          <cell r="C245" t="str">
            <v>()</v>
          </cell>
        </row>
        <row r="246">
          <cell r="B246" t="str">
            <v/>
          </cell>
          <cell r="C246" t="str">
            <v>()</v>
          </cell>
        </row>
        <row r="247">
          <cell r="B247" t="str">
            <v/>
          </cell>
          <cell r="C247" t="str">
            <v>()</v>
          </cell>
        </row>
        <row r="248">
          <cell r="B248" t="str">
            <v/>
          </cell>
          <cell r="C248" t="str">
            <v>()</v>
          </cell>
        </row>
        <row r="249">
          <cell r="B249" t="str">
            <v/>
          </cell>
          <cell r="C249" t="str">
            <v>()</v>
          </cell>
        </row>
        <row r="250">
          <cell r="B250" t="str">
            <v/>
          </cell>
          <cell r="C250" t="str">
            <v>()</v>
          </cell>
        </row>
        <row r="251">
          <cell r="B251" t="str">
            <v/>
          </cell>
          <cell r="C251" t="str">
            <v>()</v>
          </cell>
        </row>
        <row r="252">
          <cell r="B252" t="str">
            <v/>
          </cell>
          <cell r="C252" t="str">
            <v>()</v>
          </cell>
        </row>
        <row r="253">
          <cell r="B253" t="str">
            <v/>
          </cell>
          <cell r="C253" t="str">
            <v>()</v>
          </cell>
        </row>
        <row r="254">
          <cell r="B254" t="str">
            <v/>
          </cell>
          <cell r="C254" t="str">
            <v>()</v>
          </cell>
        </row>
        <row r="255">
          <cell r="B255" t="str">
            <v/>
          </cell>
          <cell r="C255" t="str">
            <v>()</v>
          </cell>
        </row>
        <row r="256">
          <cell r="B256" t="str">
            <v/>
          </cell>
          <cell r="C256" t="str">
            <v>()</v>
          </cell>
        </row>
        <row r="257">
          <cell r="B257" t="str">
            <v/>
          </cell>
          <cell r="C257" t="str">
            <v>()</v>
          </cell>
        </row>
        <row r="258">
          <cell r="B258" t="str">
            <v/>
          </cell>
          <cell r="C258" t="str">
            <v>()</v>
          </cell>
        </row>
        <row r="259">
          <cell r="B259" t="str">
            <v/>
          </cell>
          <cell r="C259" t="str">
            <v>()</v>
          </cell>
        </row>
        <row r="260">
          <cell r="B260" t="str">
            <v/>
          </cell>
          <cell r="C260" t="str">
            <v>()</v>
          </cell>
        </row>
        <row r="261">
          <cell r="B261" t="str">
            <v/>
          </cell>
          <cell r="C261" t="str">
            <v>()</v>
          </cell>
        </row>
        <row r="262">
          <cell r="B262" t="str">
            <v/>
          </cell>
          <cell r="C262" t="str">
            <v>()</v>
          </cell>
        </row>
        <row r="263">
          <cell r="B263" t="str">
            <v/>
          </cell>
          <cell r="C263" t="str">
            <v>()</v>
          </cell>
        </row>
        <row r="264">
          <cell r="B264" t="str">
            <v/>
          </cell>
          <cell r="C264" t="str">
            <v>()</v>
          </cell>
        </row>
        <row r="265">
          <cell r="B265" t="str">
            <v/>
          </cell>
          <cell r="C265" t="str">
            <v>()</v>
          </cell>
        </row>
        <row r="266">
          <cell r="B266" t="str">
            <v/>
          </cell>
          <cell r="C266" t="str">
            <v>()</v>
          </cell>
        </row>
        <row r="267">
          <cell r="B267" t="str">
            <v/>
          </cell>
          <cell r="C267" t="str">
            <v>()</v>
          </cell>
        </row>
        <row r="268">
          <cell r="B268" t="str">
            <v/>
          </cell>
          <cell r="C268" t="str">
            <v>()</v>
          </cell>
        </row>
        <row r="269">
          <cell r="B269" t="str">
            <v/>
          </cell>
          <cell r="C269" t="str">
            <v>()</v>
          </cell>
        </row>
        <row r="270">
          <cell r="B270" t="str">
            <v/>
          </cell>
          <cell r="C270" t="str">
            <v>()</v>
          </cell>
        </row>
        <row r="271">
          <cell r="B271" t="str">
            <v/>
          </cell>
          <cell r="C271" t="str">
            <v>()</v>
          </cell>
        </row>
        <row r="272">
          <cell r="B272" t="str">
            <v/>
          </cell>
          <cell r="C272" t="str">
            <v>()</v>
          </cell>
        </row>
        <row r="273">
          <cell r="B273" t="str">
            <v/>
          </cell>
          <cell r="C273" t="str">
            <v>()</v>
          </cell>
        </row>
        <row r="274">
          <cell r="B274" t="str">
            <v/>
          </cell>
          <cell r="C274" t="str">
            <v>()</v>
          </cell>
        </row>
        <row r="275">
          <cell r="B275" t="str">
            <v/>
          </cell>
          <cell r="C275" t="str">
            <v>()</v>
          </cell>
        </row>
        <row r="276">
          <cell r="B276" t="str">
            <v/>
          </cell>
          <cell r="C276" t="str">
            <v>()</v>
          </cell>
        </row>
        <row r="277">
          <cell r="B277" t="str">
            <v/>
          </cell>
          <cell r="C277" t="str">
            <v>()</v>
          </cell>
        </row>
        <row r="278">
          <cell r="B278" t="str">
            <v/>
          </cell>
          <cell r="C278" t="str">
            <v>()</v>
          </cell>
        </row>
        <row r="279">
          <cell r="B279" t="str">
            <v/>
          </cell>
          <cell r="C279" t="str">
            <v>()</v>
          </cell>
        </row>
        <row r="280">
          <cell r="B280" t="str">
            <v/>
          </cell>
          <cell r="C280" t="str">
            <v>()</v>
          </cell>
        </row>
        <row r="281">
          <cell r="B281" t="str">
            <v/>
          </cell>
          <cell r="C281" t="str">
            <v>()</v>
          </cell>
        </row>
        <row r="282">
          <cell r="B282" t="str">
            <v/>
          </cell>
          <cell r="C282" t="str">
            <v>()</v>
          </cell>
        </row>
        <row r="283">
          <cell r="B283" t="str">
            <v/>
          </cell>
          <cell r="C283" t="str">
            <v>()</v>
          </cell>
        </row>
        <row r="284">
          <cell r="B284" t="str">
            <v/>
          </cell>
          <cell r="C284" t="str">
            <v>()</v>
          </cell>
        </row>
        <row r="285">
          <cell r="B285" t="str">
            <v/>
          </cell>
          <cell r="C285" t="str">
            <v>()</v>
          </cell>
        </row>
        <row r="286">
          <cell r="B286" t="str">
            <v/>
          </cell>
          <cell r="C286" t="str">
            <v>()</v>
          </cell>
        </row>
        <row r="287">
          <cell r="B287" t="str">
            <v/>
          </cell>
          <cell r="C287" t="str">
            <v>()</v>
          </cell>
        </row>
        <row r="288">
          <cell r="B288" t="str">
            <v/>
          </cell>
          <cell r="C288" t="str">
            <v>()</v>
          </cell>
        </row>
        <row r="289">
          <cell r="B289" t="str">
            <v/>
          </cell>
          <cell r="C289" t="str">
            <v>()</v>
          </cell>
        </row>
        <row r="290">
          <cell r="B290" t="str">
            <v/>
          </cell>
          <cell r="C290" t="str">
            <v>()</v>
          </cell>
        </row>
        <row r="291">
          <cell r="B291" t="str">
            <v/>
          </cell>
          <cell r="C291" t="str">
            <v>()</v>
          </cell>
        </row>
        <row r="292">
          <cell r="B292" t="str">
            <v/>
          </cell>
          <cell r="C292" t="str">
            <v>()</v>
          </cell>
        </row>
        <row r="293">
          <cell r="B293" t="str">
            <v/>
          </cell>
          <cell r="C293" t="str">
            <v>()</v>
          </cell>
        </row>
        <row r="294">
          <cell r="B294" t="str">
            <v/>
          </cell>
          <cell r="C294" t="str">
            <v>()</v>
          </cell>
        </row>
        <row r="295">
          <cell r="B295" t="str">
            <v/>
          </cell>
          <cell r="C295" t="str">
            <v>()</v>
          </cell>
        </row>
        <row r="296">
          <cell r="B296" t="str">
            <v/>
          </cell>
          <cell r="C296" t="str">
            <v>()</v>
          </cell>
        </row>
        <row r="297">
          <cell r="B297" t="str">
            <v/>
          </cell>
          <cell r="C297" t="str">
            <v>()</v>
          </cell>
        </row>
        <row r="298">
          <cell r="B298" t="str">
            <v/>
          </cell>
          <cell r="C298" t="str">
            <v>()</v>
          </cell>
        </row>
        <row r="299">
          <cell r="B299" t="str">
            <v/>
          </cell>
          <cell r="C299" t="str">
            <v>()</v>
          </cell>
        </row>
        <row r="300">
          <cell r="B300" t="str">
            <v/>
          </cell>
          <cell r="C300" t="str">
            <v>()</v>
          </cell>
        </row>
        <row r="301">
          <cell r="B301" t="str">
            <v/>
          </cell>
          <cell r="C301" t="str">
            <v>()</v>
          </cell>
        </row>
        <row r="302">
          <cell r="B302" t="str">
            <v/>
          </cell>
          <cell r="C302" t="str">
            <v>()</v>
          </cell>
        </row>
        <row r="303">
          <cell r="B303" t="str">
            <v/>
          </cell>
          <cell r="C303" t="str">
            <v>()</v>
          </cell>
        </row>
        <row r="304">
          <cell r="B304" t="str">
            <v/>
          </cell>
          <cell r="C304" t="str">
            <v>()</v>
          </cell>
        </row>
        <row r="305">
          <cell r="B305" t="str">
            <v/>
          </cell>
          <cell r="C305" t="str">
            <v>()</v>
          </cell>
        </row>
        <row r="306">
          <cell r="B306" t="str">
            <v/>
          </cell>
          <cell r="C306" t="str">
            <v>()</v>
          </cell>
        </row>
        <row r="307">
          <cell r="B307" t="str">
            <v/>
          </cell>
          <cell r="C307" t="str">
            <v>()</v>
          </cell>
        </row>
        <row r="308">
          <cell r="B308" t="str">
            <v/>
          </cell>
          <cell r="C308" t="str">
            <v>()</v>
          </cell>
        </row>
        <row r="309">
          <cell r="B309" t="str">
            <v/>
          </cell>
          <cell r="C309" t="str">
            <v>()</v>
          </cell>
        </row>
        <row r="310">
          <cell r="B310" t="str">
            <v/>
          </cell>
          <cell r="C310" t="str">
            <v>()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65463"/>
  <sheetViews>
    <sheetView tabSelected="1" topLeftCell="A43" zoomScale="130" zoomScaleNormal="130" workbookViewId="0">
      <selection activeCell="E52" sqref="E52:H52"/>
    </sheetView>
  </sheetViews>
  <sheetFormatPr defaultColWidth="2.625" defaultRowHeight="13.5" x14ac:dyDescent="0.15"/>
  <cols>
    <col min="1" max="1" width="1.625" customWidth="1"/>
    <col min="2" max="2" width="2.625" customWidth="1"/>
    <col min="3" max="3" width="1.625" customWidth="1"/>
    <col min="4" max="4" width="4.125" customWidth="1"/>
    <col min="5" max="5" width="1.875" customWidth="1"/>
    <col min="6" max="6" width="2.5" customWidth="1"/>
    <col min="7" max="7" width="6.375" customWidth="1"/>
    <col min="8" max="8" width="5.125" customWidth="1"/>
    <col min="9" max="9" width="7.75" customWidth="1"/>
    <col min="10" max="10" width="1.625" customWidth="1"/>
    <col min="11" max="12" width="2.625" customWidth="1"/>
    <col min="13" max="13" width="4.125" customWidth="1"/>
    <col min="14" max="14" width="1.875" customWidth="1"/>
    <col min="15" max="15" width="2.75" customWidth="1"/>
    <col min="16" max="16" width="9.625" customWidth="1"/>
    <col min="17" max="17" width="2" customWidth="1"/>
    <col min="18" max="18" width="5.25" customWidth="1"/>
    <col min="19" max="19" width="1.625" customWidth="1"/>
    <col min="20" max="20" width="2.625" customWidth="1"/>
    <col min="21" max="21" width="1.625" customWidth="1"/>
    <col min="22" max="22" width="4.125" customWidth="1"/>
    <col min="23" max="23" width="4.875" customWidth="1"/>
    <col min="24" max="24" width="11" customWidth="1"/>
    <col min="25" max="25" width="3" customWidth="1"/>
    <col min="26" max="26" width="0.125" customWidth="1"/>
    <col min="27" max="27" width="6.875" customWidth="1"/>
    <col min="28" max="28" width="3.875" customWidth="1"/>
    <col min="29" max="29" width="1.625" customWidth="1"/>
    <col min="30" max="30" width="5" customWidth="1"/>
    <col min="31" max="31" width="1.625" customWidth="1"/>
    <col min="32" max="32" width="4.375" customWidth="1"/>
    <col min="33" max="33" width="15.25" customWidth="1"/>
    <col min="34" max="34" width="18.5" customWidth="1"/>
    <col min="35" max="35" width="5.625" customWidth="1"/>
    <col min="36" max="36" width="3.625" customWidth="1"/>
    <col min="37" max="37" width="1.875" customWidth="1"/>
    <col min="38" max="44" width="2.625" customWidth="1"/>
    <col min="45" max="45" width="14.125" customWidth="1"/>
    <col min="46" max="46" width="4.625" customWidth="1"/>
  </cols>
  <sheetData>
    <row r="1" spans="1:38" ht="9.9499999999999993" customHeight="1" x14ac:dyDescent="0.15">
      <c r="A1" s="185" t="s">
        <v>42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39"/>
      <c r="V1" s="178" t="s">
        <v>52</v>
      </c>
      <c r="W1" s="178"/>
      <c r="X1" s="178" t="s">
        <v>79</v>
      </c>
      <c r="Y1" s="178"/>
      <c r="Z1" s="178"/>
      <c r="AA1" s="178"/>
    </row>
    <row r="2" spans="1:38" ht="9.9499999999999993" customHeight="1" x14ac:dyDescent="0.1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39"/>
      <c r="V2" s="179" t="s">
        <v>53</v>
      </c>
      <c r="W2" s="180"/>
      <c r="X2" s="179">
        <v>42325</v>
      </c>
      <c r="Y2" s="183"/>
      <c r="Z2" s="183"/>
      <c r="AA2" s="184"/>
    </row>
    <row r="3" spans="1:38" ht="9.9499999999999993" customHeight="1" x14ac:dyDescent="0.15">
      <c r="A3" s="185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39"/>
      <c r="V3" s="178" t="s">
        <v>72</v>
      </c>
      <c r="W3" s="178"/>
      <c r="X3" s="178">
        <v>44340</v>
      </c>
      <c r="Y3" s="178"/>
      <c r="Z3" s="178"/>
      <c r="AA3" s="178"/>
    </row>
    <row r="4" spans="1:38" ht="2.1" customHeight="1" thickBot="1" x14ac:dyDescent="0.2">
      <c r="A4" s="40"/>
      <c r="B4" s="40"/>
      <c r="C4" s="40"/>
      <c r="D4" s="40"/>
      <c r="E4" s="40"/>
      <c r="F4" s="40"/>
      <c r="G4" s="40"/>
      <c r="H4" s="187"/>
      <c r="I4" s="187"/>
      <c r="J4" s="187"/>
      <c r="K4" s="187"/>
      <c r="L4" s="187"/>
      <c r="M4" s="41"/>
      <c r="N4" s="40"/>
      <c r="O4" s="42"/>
      <c r="P4" s="40"/>
      <c r="Q4" s="40"/>
      <c r="R4" s="43"/>
      <c r="S4" s="42"/>
      <c r="T4" s="42"/>
      <c r="U4" s="40"/>
      <c r="V4" s="40"/>
      <c r="W4" s="41"/>
      <c r="X4" s="41"/>
      <c r="Y4" s="44"/>
      <c r="Z4" s="44"/>
      <c r="AA4" s="44"/>
    </row>
    <row r="5" spans="1:38" ht="15" customHeight="1" x14ac:dyDescent="0.15">
      <c r="A5" s="186" t="s">
        <v>32</v>
      </c>
      <c r="B5" s="181"/>
      <c r="C5" s="181"/>
      <c r="D5" s="181"/>
      <c r="E5" s="181"/>
      <c r="F5" s="181"/>
      <c r="G5" s="113" t="s">
        <v>0</v>
      </c>
      <c r="H5" s="161"/>
      <c r="I5" s="161"/>
      <c r="J5" s="161"/>
      <c r="K5" s="114"/>
      <c r="L5" s="113" t="s">
        <v>1</v>
      </c>
      <c r="M5" s="161"/>
      <c r="N5" s="161"/>
      <c r="O5" s="161"/>
      <c r="P5" s="114"/>
      <c r="Q5" s="181" t="s">
        <v>37</v>
      </c>
      <c r="R5" s="181"/>
      <c r="S5" s="181"/>
      <c r="T5" s="181"/>
      <c r="U5" s="181"/>
      <c r="V5" s="181"/>
      <c r="W5" s="113" t="s">
        <v>50</v>
      </c>
      <c r="X5" s="114"/>
      <c r="Y5" s="110" t="s">
        <v>51</v>
      </c>
      <c r="Z5" s="111"/>
      <c r="AA5" s="112"/>
      <c r="AF5" s="2" t="s">
        <v>46</v>
      </c>
      <c r="AH5" s="52">
        <v>0.1</v>
      </c>
    </row>
    <row r="6" spans="1:38" ht="24.95" customHeight="1" thickBot="1" x14ac:dyDescent="0.2">
      <c r="A6" s="197">
        <v>81212631</v>
      </c>
      <c r="B6" s="198"/>
      <c r="C6" s="198"/>
      <c r="D6" s="198"/>
      <c r="E6" s="198"/>
      <c r="F6" s="198"/>
      <c r="G6" s="195" t="s">
        <v>162</v>
      </c>
      <c r="H6" s="139"/>
      <c r="I6" s="139"/>
      <c r="J6" s="139"/>
      <c r="K6" s="196"/>
      <c r="L6" s="138" t="s">
        <v>109</v>
      </c>
      <c r="M6" s="139"/>
      <c r="N6" s="116"/>
      <c r="O6" s="116"/>
      <c r="P6" s="140"/>
      <c r="Q6" s="199" t="s">
        <v>129</v>
      </c>
      <c r="R6" s="199"/>
      <c r="S6" s="199"/>
      <c r="T6" s="199"/>
      <c r="U6" s="199"/>
      <c r="V6" s="199"/>
      <c r="W6" s="115" t="s">
        <v>110</v>
      </c>
      <c r="X6" s="140"/>
      <c r="Y6" s="115" t="s">
        <v>111</v>
      </c>
      <c r="Z6" s="116"/>
      <c r="AA6" s="117"/>
      <c r="AF6" s="2" t="s">
        <v>47</v>
      </c>
      <c r="AH6" s="52">
        <v>0.1</v>
      </c>
    </row>
    <row r="7" spans="1:38" ht="15" customHeight="1" x14ac:dyDescent="0.15">
      <c r="A7" s="194" t="s">
        <v>56</v>
      </c>
      <c r="B7" s="161"/>
      <c r="C7" s="161"/>
      <c r="D7" s="161"/>
      <c r="E7" s="161"/>
      <c r="F7" s="161"/>
      <c r="G7" s="113" t="s">
        <v>39</v>
      </c>
      <c r="H7" s="161"/>
      <c r="I7" s="161"/>
      <c r="J7" s="161"/>
      <c r="K7" s="114"/>
      <c r="L7" s="181" t="s">
        <v>40</v>
      </c>
      <c r="M7" s="181"/>
      <c r="N7" s="181"/>
      <c r="O7" s="181"/>
      <c r="P7" s="181" t="s">
        <v>45</v>
      </c>
      <c r="Q7" s="181"/>
      <c r="R7" s="113" t="s">
        <v>59</v>
      </c>
      <c r="S7" s="161"/>
      <c r="T7" s="161"/>
      <c r="U7" s="161"/>
      <c r="V7" s="114"/>
      <c r="W7" s="110" t="s">
        <v>41</v>
      </c>
      <c r="X7" s="111"/>
      <c r="Y7" s="110" t="s">
        <v>38</v>
      </c>
      <c r="Z7" s="111"/>
      <c r="AA7" s="112"/>
      <c r="AF7" s="2" t="s">
        <v>58</v>
      </c>
      <c r="AH7" s="52">
        <v>3</v>
      </c>
    </row>
    <row r="8" spans="1:38" ht="24.95" customHeight="1" thickBot="1" x14ac:dyDescent="0.2">
      <c r="A8" s="170" t="s">
        <v>117</v>
      </c>
      <c r="B8" s="163"/>
      <c r="C8" s="163"/>
      <c r="D8" s="163"/>
      <c r="E8" s="163"/>
      <c r="F8" s="163"/>
      <c r="G8" s="162" t="s">
        <v>116</v>
      </c>
      <c r="H8" s="163"/>
      <c r="I8" s="163"/>
      <c r="J8" s="163"/>
      <c r="K8" s="164"/>
      <c r="L8" s="171" t="s">
        <v>112</v>
      </c>
      <c r="M8" s="171"/>
      <c r="N8" s="171"/>
      <c r="O8" s="171"/>
      <c r="P8" s="200">
        <f>IF(ISERROR(AJ8/(L8+AH5+AH6+AH7)),"",AJ8/(L8+AH5+AH6+AH7))</f>
        <v>60.273972602739725</v>
      </c>
      <c r="Q8" s="200"/>
      <c r="R8" s="192" t="s">
        <v>113</v>
      </c>
      <c r="S8" s="192"/>
      <c r="T8" s="192"/>
      <c r="U8" s="192"/>
      <c r="V8" s="193"/>
      <c r="W8" s="115" t="s">
        <v>114</v>
      </c>
      <c r="X8" s="140"/>
      <c r="Y8" s="115" t="s">
        <v>115</v>
      </c>
      <c r="Z8" s="116"/>
      <c r="AA8" s="117"/>
      <c r="AF8" s="2" t="s">
        <v>48</v>
      </c>
      <c r="AH8" s="53">
        <v>2500</v>
      </c>
      <c r="AJ8" s="58">
        <f>AH8-300</f>
        <v>2200</v>
      </c>
    </row>
    <row r="9" spans="1:38" ht="6.95" customHeight="1" thickBot="1" x14ac:dyDescent="0.2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7"/>
      <c r="AH9" s="2"/>
    </row>
    <row r="10" spans="1:38" ht="15" customHeight="1" x14ac:dyDescent="0.15">
      <c r="A10" s="172" t="s">
        <v>16</v>
      </c>
      <c r="B10" s="173"/>
      <c r="C10" s="188" t="s">
        <v>17</v>
      </c>
      <c r="D10" s="189"/>
      <c r="E10" s="123" t="s">
        <v>35</v>
      </c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53" t="s">
        <v>83</v>
      </c>
      <c r="R10" s="154"/>
      <c r="S10" s="172" t="s">
        <v>16</v>
      </c>
      <c r="T10" s="173"/>
      <c r="U10" s="188" t="s">
        <v>12</v>
      </c>
      <c r="V10" s="189"/>
      <c r="W10" s="123" t="s">
        <v>36</v>
      </c>
      <c r="X10" s="124"/>
      <c r="Y10" s="124"/>
      <c r="Z10" s="124"/>
      <c r="AA10" s="60" t="s">
        <v>83</v>
      </c>
      <c r="AB10" s="1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15" customHeight="1" thickBot="1" x14ac:dyDescent="0.2">
      <c r="A11" s="174"/>
      <c r="B11" s="175"/>
      <c r="C11" s="190"/>
      <c r="D11" s="191"/>
      <c r="E11" s="125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55">
        <f>AH5</f>
        <v>0.1</v>
      </c>
      <c r="R11" s="156"/>
      <c r="S11" s="174"/>
      <c r="T11" s="175"/>
      <c r="U11" s="190"/>
      <c r="V11" s="191"/>
      <c r="W11" s="125"/>
      <c r="X11" s="126"/>
      <c r="Y11" s="126"/>
      <c r="Z11" s="126"/>
      <c r="AA11" s="59">
        <f>AH6</f>
        <v>0.1</v>
      </c>
      <c r="AB11" s="2"/>
      <c r="AC11" s="2"/>
      <c r="AD11" s="2"/>
      <c r="AE11" s="2"/>
      <c r="AF11" s="9" t="s">
        <v>2</v>
      </c>
      <c r="AG11" s="2"/>
      <c r="AH11" s="8"/>
      <c r="AI11" s="2"/>
      <c r="AJ11" s="2"/>
      <c r="AK11" s="2"/>
      <c r="AL11" s="2"/>
    </row>
    <row r="12" spans="1:38" ht="17.100000000000001" customHeight="1" x14ac:dyDescent="0.15">
      <c r="A12" s="144">
        <v>11</v>
      </c>
      <c r="B12" s="145"/>
      <c r="C12" s="146">
        <v>21</v>
      </c>
      <c r="D12" s="147"/>
      <c r="E12" s="142" t="s">
        <v>118</v>
      </c>
      <c r="F12" s="142"/>
      <c r="G12" s="142"/>
      <c r="H12" s="142"/>
      <c r="I12" s="69"/>
      <c r="J12" s="157"/>
      <c r="K12" s="158"/>
      <c r="L12" s="159"/>
      <c r="M12" s="159"/>
      <c r="N12" s="160"/>
      <c r="O12" s="160"/>
      <c r="P12" s="160"/>
      <c r="Q12" s="158"/>
      <c r="R12" s="182"/>
      <c r="S12" s="118">
        <v>22</v>
      </c>
      <c r="T12" s="119"/>
      <c r="U12" s="127">
        <v>32</v>
      </c>
      <c r="V12" s="128"/>
      <c r="W12" s="70" t="s">
        <v>174</v>
      </c>
      <c r="X12" s="70"/>
      <c r="Y12" s="70"/>
      <c r="Z12" s="71"/>
      <c r="AA12" s="72"/>
      <c r="AB12" s="2"/>
      <c r="AC12" s="3"/>
      <c r="AD12" s="3"/>
      <c r="AE12" s="3"/>
      <c r="AF12" s="2" t="s">
        <v>57</v>
      </c>
      <c r="AG12" s="1"/>
      <c r="AH12" s="1"/>
      <c r="AI12" s="1"/>
      <c r="AJ12" s="1"/>
      <c r="AK12" s="1"/>
      <c r="AL12" s="1"/>
    </row>
    <row r="13" spans="1:38" ht="12" customHeight="1" x14ac:dyDescent="0.15">
      <c r="A13" s="148"/>
      <c r="B13" s="149"/>
      <c r="C13" s="149"/>
      <c r="D13" s="150"/>
      <c r="E13" s="76" t="s">
        <v>119</v>
      </c>
      <c r="F13" s="77"/>
      <c r="G13" s="143" t="s">
        <v>120</v>
      </c>
      <c r="H13" s="143"/>
      <c r="I13" s="143"/>
      <c r="J13" s="84"/>
      <c r="K13" s="85"/>
      <c r="L13" s="85"/>
      <c r="M13" s="85"/>
      <c r="N13" s="141"/>
      <c r="O13" s="141"/>
      <c r="P13" s="73"/>
      <c r="Q13" s="73"/>
      <c r="R13" s="74"/>
      <c r="S13" s="120" t="s">
        <v>156</v>
      </c>
      <c r="T13" s="121"/>
      <c r="U13" s="121"/>
      <c r="V13" s="122"/>
      <c r="W13" s="56" t="s">
        <v>126</v>
      </c>
      <c r="X13" s="82" t="s">
        <v>157</v>
      </c>
      <c r="Y13" s="82"/>
      <c r="Z13" s="82"/>
      <c r="AA13" s="95"/>
      <c r="AB13" s="2"/>
      <c r="AC13" s="3"/>
      <c r="AD13" s="3"/>
      <c r="AE13" s="3"/>
      <c r="AF13" s="2" t="s">
        <v>3</v>
      </c>
      <c r="AG13" s="10"/>
      <c r="AH13" s="10"/>
      <c r="AI13" s="10"/>
      <c r="AJ13" s="10"/>
      <c r="AK13" s="10"/>
      <c r="AL13" s="10"/>
    </row>
    <row r="14" spans="1:38" ht="17.100000000000001" customHeight="1" x14ac:dyDescent="0.15">
      <c r="A14" s="151">
        <v>1</v>
      </c>
      <c r="B14" s="152"/>
      <c r="C14" s="176" t="s">
        <v>123</v>
      </c>
      <c r="D14" s="177"/>
      <c r="E14" s="142" t="s">
        <v>121</v>
      </c>
      <c r="F14" s="142"/>
      <c r="G14" s="142"/>
      <c r="H14" s="142"/>
      <c r="I14" s="55"/>
      <c r="J14" s="165" t="s">
        <v>125</v>
      </c>
      <c r="K14" s="75"/>
      <c r="L14" s="75"/>
      <c r="M14" s="75"/>
      <c r="N14" s="75"/>
      <c r="O14" s="75"/>
      <c r="P14" s="75"/>
      <c r="Q14" s="75"/>
      <c r="R14" s="166"/>
      <c r="S14" s="96"/>
      <c r="T14" s="97"/>
      <c r="U14" s="101"/>
      <c r="V14" s="102"/>
      <c r="W14" s="70"/>
      <c r="X14" s="70"/>
      <c r="Y14" s="70"/>
      <c r="Z14" s="71"/>
      <c r="AA14" s="72"/>
      <c r="AF14" s="2" t="s">
        <v>4</v>
      </c>
    </row>
    <row r="15" spans="1:38" ht="12" customHeight="1" x14ac:dyDescent="0.15">
      <c r="A15" s="148" t="s">
        <v>155</v>
      </c>
      <c r="B15" s="149"/>
      <c r="C15" s="149"/>
      <c r="D15" s="150"/>
      <c r="E15" s="76" t="s">
        <v>126</v>
      </c>
      <c r="F15" s="77"/>
      <c r="G15" s="82" t="s">
        <v>175</v>
      </c>
      <c r="H15" s="82"/>
      <c r="I15" s="83"/>
      <c r="J15" s="167"/>
      <c r="K15" s="168"/>
      <c r="L15" s="168"/>
      <c r="M15" s="168"/>
      <c r="N15" s="168"/>
      <c r="O15" s="168"/>
      <c r="P15" s="168"/>
      <c r="Q15" s="168"/>
      <c r="R15" s="169"/>
      <c r="S15" s="120"/>
      <c r="T15" s="121"/>
      <c r="U15" s="121"/>
      <c r="V15" s="122"/>
      <c r="W15" s="56"/>
      <c r="X15" s="82"/>
      <c r="Y15" s="82"/>
      <c r="Z15" s="82"/>
      <c r="AA15" s="95"/>
      <c r="AF15" s="2" t="s">
        <v>5</v>
      </c>
    </row>
    <row r="16" spans="1:38" ht="17.100000000000001" customHeight="1" x14ac:dyDescent="0.15">
      <c r="A16" s="151">
        <v>12</v>
      </c>
      <c r="B16" s="152"/>
      <c r="C16" s="176">
        <v>9</v>
      </c>
      <c r="D16" s="177"/>
      <c r="E16" s="78" t="s">
        <v>118</v>
      </c>
      <c r="F16" s="79"/>
      <c r="G16" s="79"/>
      <c r="H16" s="80"/>
      <c r="I16" s="55"/>
      <c r="J16" s="129" t="str">
        <f>IFERROR(VLOOKUP(W17,'[1]リンクデータ新(ロック解除PASS　1111) '!$B:$C,2,0),"")</f>
        <v/>
      </c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1"/>
      <c r="AF16" s="2" t="s">
        <v>19</v>
      </c>
    </row>
    <row r="17" spans="1:32" ht="12" customHeight="1" x14ac:dyDescent="0.15">
      <c r="A17" s="148"/>
      <c r="B17" s="149"/>
      <c r="C17" s="149"/>
      <c r="D17" s="150"/>
      <c r="E17" s="76" t="s">
        <v>119</v>
      </c>
      <c r="F17" s="77"/>
      <c r="G17" s="81" t="s">
        <v>163</v>
      </c>
      <c r="H17" s="82"/>
      <c r="I17" s="83"/>
      <c r="J17" s="132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4"/>
      <c r="AF17" s="2" t="s">
        <v>6</v>
      </c>
    </row>
    <row r="18" spans="1:32" ht="17.100000000000001" customHeight="1" x14ac:dyDescent="0.15">
      <c r="A18" s="151">
        <v>2</v>
      </c>
      <c r="B18" s="152"/>
      <c r="C18" s="176" t="s">
        <v>130</v>
      </c>
      <c r="D18" s="177"/>
      <c r="E18" s="78" t="s">
        <v>131</v>
      </c>
      <c r="F18" s="79"/>
      <c r="G18" s="79"/>
      <c r="H18" s="80"/>
      <c r="I18" s="55"/>
      <c r="J18" s="132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4"/>
      <c r="AF18" s="2" t="s">
        <v>20</v>
      </c>
    </row>
    <row r="19" spans="1:32" ht="12" customHeight="1" x14ac:dyDescent="0.15">
      <c r="A19" s="148"/>
      <c r="B19" s="149"/>
      <c r="C19" s="149"/>
      <c r="D19" s="150"/>
      <c r="E19" s="76">
        <v>216</v>
      </c>
      <c r="F19" s="77"/>
      <c r="G19" s="81" t="str">
        <f>IFERROR(VLOOKUP(E19,'[1]リンクデータ新(ロック解除PASS　1111) '!$B:$C,2,0),"")</f>
        <v>08IRA60 IC228(イスカル)</v>
      </c>
      <c r="H19" s="82"/>
      <c r="I19" s="83"/>
      <c r="J19" s="132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4"/>
      <c r="AF19" s="2" t="s">
        <v>24</v>
      </c>
    </row>
    <row r="20" spans="1:32" ht="17.100000000000001" customHeight="1" x14ac:dyDescent="0.15">
      <c r="A20" s="151">
        <v>1</v>
      </c>
      <c r="B20" s="152"/>
      <c r="C20" s="176" t="s">
        <v>132</v>
      </c>
      <c r="D20" s="177"/>
      <c r="E20" s="78" t="s">
        <v>133</v>
      </c>
      <c r="F20" s="79"/>
      <c r="G20" s="79"/>
      <c r="H20" s="80"/>
      <c r="I20" s="55"/>
      <c r="J20" s="132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4"/>
      <c r="AF20" s="2" t="s">
        <v>23</v>
      </c>
    </row>
    <row r="21" spans="1:32" ht="12" customHeight="1" x14ac:dyDescent="0.15">
      <c r="A21" s="148"/>
      <c r="B21" s="149"/>
      <c r="C21" s="149"/>
      <c r="D21" s="150"/>
      <c r="E21" s="76"/>
      <c r="F21" s="77"/>
      <c r="G21" s="81" t="str">
        <f>IFERROR(VLOOKUP(E21,'[1]リンクデータ新(ロック解除PASS　1111) '!$B:$C,2,0),"")</f>
        <v/>
      </c>
      <c r="H21" s="82"/>
      <c r="I21" s="83"/>
      <c r="J21" s="132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4"/>
      <c r="AF21" s="2" t="s">
        <v>21</v>
      </c>
    </row>
    <row r="22" spans="1:32" ht="17.100000000000001" customHeight="1" x14ac:dyDescent="0.15">
      <c r="A22" s="151">
        <v>2</v>
      </c>
      <c r="B22" s="152"/>
      <c r="C22" s="176" t="s">
        <v>130</v>
      </c>
      <c r="D22" s="177"/>
      <c r="E22" s="78" t="s">
        <v>134</v>
      </c>
      <c r="F22" s="79"/>
      <c r="G22" s="79"/>
      <c r="H22" s="80"/>
      <c r="I22" s="55"/>
      <c r="J22" s="132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4"/>
      <c r="AF22" s="2" t="s">
        <v>22</v>
      </c>
    </row>
    <row r="23" spans="1:32" ht="12" customHeight="1" x14ac:dyDescent="0.15">
      <c r="A23" s="148"/>
      <c r="B23" s="149"/>
      <c r="C23" s="149"/>
      <c r="D23" s="150"/>
      <c r="E23" s="76"/>
      <c r="F23" s="77"/>
      <c r="G23" s="81" t="str">
        <f>IFERROR(VLOOKUP(E23,'[1]リンクデータ新(ロック解除PASS　1111) '!$B:$C,2,0),"")</f>
        <v/>
      </c>
      <c r="H23" s="82"/>
      <c r="I23" s="83"/>
      <c r="J23" s="132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4"/>
      <c r="AF23" s="2" t="s">
        <v>18</v>
      </c>
    </row>
    <row r="24" spans="1:32" ht="17.100000000000001" customHeight="1" x14ac:dyDescent="0.15">
      <c r="A24" s="151">
        <v>13</v>
      </c>
      <c r="B24" s="152"/>
      <c r="C24" s="176">
        <v>1</v>
      </c>
      <c r="D24" s="177"/>
      <c r="E24" s="78" t="s">
        <v>135</v>
      </c>
      <c r="F24" s="79"/>
      <c r="G24" s="79"/>
      <c r="H24" s="80"/>
      <c r="I24" s="55"/>
      <c r="J24" s="132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4"/>
      <c r="AF24" s="2" t="s">
        <v>7</v>
      </c>
    </row>
    <row r="25" spans="1:32" ht="12" customHeight="1" x14ac:dyDescent="0.15">
      <c r="A25" s="148" t="s">
        <v>136</v>
      </c>
      <c r="B25" s="149"/>
      <c r="C25" s="149"/>
      <c r="D25" s="150"/>
      <c r="E25" s="76">
        <v>316</v>
      </c>
      <c r="F25" s="77"/>
      <c r="G25" s="81" t="str">
        <f>IFERROR(VLOOKUP(E25,'[1]リンクデータ新(ロック解除PASS　1111) '!$B:$C,2,0),"")</f>
        <v>GWPG600N02G-GW DM4(NTK)</v>
      </c>
      <c r="H25" s="82"/>
      <c r="I25" s="83"/>
      <c r="J25" s="132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4"/>
      <c r="AF25" s="2" t="s">
        <v>25</v>
      </c>
    </row>
    <row r="26" spans="1:32" ht="17.100000000000001" customHeight="1" x14ac:dyDescent="0.15">
      <c r="A26" s="151">
        <v>3</v>
      </c>
      <c r="B26" s="152"/>
      <c r="C26" s="176">
        <v>5</v>
      </c>
      <c r="D26" s="177"/>
      <c r="E26" s="78" t="s">
        <v>6</v>
      </c>
      <c r="F26" s="79"/>
      <c r="G26" s="79"/>
      <c r="H26" s="80"/>
      <c r="I26" s="55"/>
      <c r="J26" s="132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4"/>
      <c r="AF26" s="2" t="s">
        <v>26</v>
      </c>
    </row>
    <row r="27" spans="1:32" ht="12" customHeight="1" x14ac:dyDescent="0.15">
      <c r="A27" s="148"/>
      <c r="B27" s="149"/>
      <c r="C27" s="149"/>
      <c r="D27" s="150"/>
      <c r="E27" s="76" t="s">
        <v>126</v>
      </c>
      <c r="F27" s="77"/>
      <c r="G27" s="81" t="s">
        <v>171</v>
      </c>
      <c r="H27" s="82"/>
      <c r="I27" s="83"/>
      <c r="J27" s="132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4"/>
      <c r="AF27" s="2" t="s">
        <v>27</v>
      </c>
    </row>
    <row r="28" spans="1:32" ht="17.100000000000001" customHeight="1" x14ac:dyDescent="0.15">
      <c r="A28" s="151">
        <v>5</v>
      </c>
      <c r="B28" s="152"/>
      <c r="C28" s="176">
        <v>12</v>
      </c>
      <c r="D28" s="177"/>
      <c r="E28" s="78" t="s">
        <v>137</v>
      </c>
      <c r="F28" s="79"/>
      <c r="G28" s="79"/>
      <c r="H28" s="80"/>
      <c r="I28" s="55" t="s">
        <v>138</v>
      </c>
      <c r="J28" s="132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4"/>
      <c r="AF28" s="2" t="s">
        <v>28</v>
      </c>
    </row>
    <row r="29" spans="1:32" ht="12" customHeight="1" x14ac:dyDescent="0.15">
      <c r="A29" s="148" t="s">
        <v>136</v>
      </c>
      <c r="B29" s="149"/>
      <c r="C29" s="149"/>
      <c r="D29" s="150"/>
      <c r="E29" s="76">
        <v>607</v>
      </c>
      <c r="F29" s="77"/>
      <c r="G29" s="81" t="str">
        <f>IFERROR(VLOOKUP(E29,'[1]リンクデータ新(ロック解除PASS　1111) '!$B:$C,2,0),"")</f>
        <v>RWEM080H4R00S08 AC3(NTK)</v>
      </c>
      <c r="H29" s="82"/>
      <c r="I29" s="83"/>
      <c r="J29" s="132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4"/>
      <c r="AF29" s="2" t="s">
        <v>29</v>
      </c>
    </row>
    <row r="30" spans="1:32" ht="17.100000000000001" customHeight="1" x14ac:dyDescent="0.15">
      <c r="A30" s="151">
        <v>8</v>
      </c>
      <c r="B30" s="152"/>
      <c r="C30" s="176">
        <v>14</v>
      </c>
      <c r="D30" s="177"/>
      <c r="E30" s="78" t="s">
        <v>139</v>
      </c>
      <c r="F30" s="79"/>
      <c r="G30" s="79"/>
      <c r="H30" s="80"/>
      <c r="I30" s="55" t="s">
        <v>140</v>
      </c>
      <c r="J30" s="132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4"/>
      <c r="AF30" s="2" t="s">
        <v>30</v>
      </c>
    </row>
    <row r="31" spans="1:32" ht="12" customHeight="1" x14ac:dyDescent="0.15">
      <c r="A31" s="148" t="s">
        <v>141</v>
      </c>
      <c r="B31" s="149"/>
      <c r="C31" s="149"/>
      <c r="D31" s="150"/>
      <c r="E31" s="76" t="s">
        <v>126</v>
      </c>
      <c r="F31" s="77"/>
      <c r="G31" s="81" t="s">
        <v>142</v>
      </c>
      <c r="H31" s="82"/>
      <c r="I31" s="83"/>
      <c r="J31" s="132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4"/>
      <c r="AF31" s="2" t="s">
        <v>31</v>
      </c>
    </row>
    <row r="32" spans="1:32" ht="17.100000000000001" customHeight="1" x14ac:dyDescent="0.15">
      <c r="A32" s="151">
        <v>8</v>
      </c>
      <c r="B32" s="152"/>
      <c r="C32" s="176">
        <v>13</v>
      </c>
      <c r="D32" s="177"/>
      <c r="E32" s="78" t="s">
        <v>143</v>
      </c>
      <c r="F32" s="79"/>
      <c r="G32" s="79"/>
      <c r="H32" s="80"/>
      <c r="I32" s="55" t="s">
        <v>144</v>
      </c>
      <c r="J32" s="132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4"/>
      <c r="AF32" s="2" t="s">
        <v>34</v>
      </c>
    </row>
    <row r="33" spans="1:34" ht="12" customHeight="1" x14ac:dyDescent="0.15">
      <c r="A33" s="148" t="s">
        <v>145</v>
      </c>
      <c r="B33" s="149"/>
      <c r="C33" s="149"/>
      <c r="D33" s="150"/>
      <c r="E33" s="76" t="s">
        <v>126</v>
      </c>
      <c r="F33" s="77"/>
      <c r="G33" s="81" t="s">
        <v>146</v>
      </c>
      <c r="H33" s="82"/>
      <c r="I33" s="83"/>
      <c r="J33" s="135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7"/>
    </row>
    <row r="34" spans="1:34" ht="17.100000000000001" customHeight="1" x14ac:dyDescent="0.15">
      <c r="A34" s="151">
        <v>8</v>
      </c>
      <c r="B34" s="152"/>
      <c r="C34" s="176">
        <v>11</v>
      </c>
      <c r="D34" s="177"/>
      <c r="E34" s="78" t="s">
        <v>147</v>
      </c>
      <c r="F34" s="79"/>
      <c r="G34" s="79"/>
      <c r="H34" s="80"/>
      <c r="I34" s="55" t="s">
        <v>167</v>
      </c>
      <c r="J34" s="89"/>
      <c r="K34" s="90"/>
      <c r="L34" s="90"/>
      <c r="M34" s="90"/>
      <c r="N34" s="90"/>
      <c r="O34" s="90"/>
      <c r="P34" s="90"/>
      <c r="Q34" s="90"/>
      <c r="R34" s="91"/>
      <c r="S34" s="96"/>
      <c r="T34" s="97"/>
      <c r="U34" s="101"/>
      <c r="V34" s="102"/>
      <c r="W34" s="70"/>
      <c r="X34" s="70"/>
      <c r="Y34" s="70"/>
      <c r="Z34" s="71"/>
      <c r="AA34" s="72"/>
      <c r="AH34" s="61"/>
    </row>
    <row r="35" spans="1:34" ht="12" customHeight="1" x14ac:dyDescent="0.15">
      <c r="A35" s="148" t="s">
        <v>169</v>
      </c>
      <c r="B35" s="149"/>
      <c r="C35" s="149"/>
      <c r="D35" s="150"/>
      <c r="E35" s="76" t="s">
        <v>126</v>
      </c>
      <c r="F35" s="77"/>
      <c r="G35" s="81" t="s">
        <v>168</v>
      </c>
      <c r="H35" s="82"/>
      <c r="I35" s="83"/>
      <c r="J35" s="92"/>
      <c r="K35" s="93"/>
      <c r="L35" s="93"/>
      <c r="M35" s="93"/>
      <c r="N35" s="93"/>
      <c r="O35" s="93"/>
      <c r="P35" s="93"/>
      <c r="Q35" s="93"/>
      <c r="R35" s="94"/>
      <c r="S35" s="98"/>
      <c r="T35" s="99"/>
      <c r="U35" s="99"/>
      <c r="V35" s="100"/>
      <c r="W35" s="57"/>
      <c r="X35" s="82" t="str">
        <f>IFERROR(VLOOKUP(W35,'[1]リンクデータ新(ロック解除PASS　1111) '!$B:$C,2,0),"")</f>
        <v/>
      </c>
      <c r="Y35" s="82"/>
      <c r="Z35" s="82"/>
      <c r="AA35" s="95"/>
    </row>
    <row r="36" spans="1:34" ht="17.100000000000001" customHeight="1" x14ac:dyDescent="0.15">
      <c r="A36" s="151">
        <v>8</v>
      </c>
      <c r="B36" s="152"/>
      <c r="C36" s="176">
        <v>13</v>
      </c>
      <c r="D36" s="177"/>
      <c r="E36" s="78" t="s">
        <v>143</v>
      </c>
      <c r="F36" s="79"/>
      <c r="G36" s="79"/>
      <c r="H36" s="80"/>
      <c r="I36" s="55"/>
      <c r="J36" s="89"/>
      <c r="K36" s="90"/>
      <c r="L36" s="90"/>
      <c r="M36" s="90"/>
      <c r="N36" s="90"/>
      <c r="O36" s="90"/>
      <c r="P36" s="90"/>
      <c r="Q36" s="90"/>
      <c r="R36" s="91"/>
      <c r="S36" s="96"/>
      <c r="T36" s="97"/>
      <c r="U36" s="101"/>
      <c r="V36" s="102"/>
      <c r="W36" s="70"/>
      <c r="X36" s="70"/>
      <c r="Y36" s="70"/>
      <c r="Z36" s="71"/>
      <c r="AA36" s="72"/>
    </row>
    <row r="37" spans="1:34" ht="12" customHeight="1" x14ac:dyDescent="0.15">
      <c r="A37" s="148"/>
      <c r="B37" s="149"/>
      <c r="C37" s="149"/>
      <c r="D37" s="150"/>
      <c r="E37" s="76"/>
      <c r="F37" s="77"/>
      <c r="G37" s="81"/>
      <c r="H37" s="82"/>
      <c r="I37" s="83"/>
      <c r="J37" s="92"/>
      <c r="K37" s="93"/>
      <c r="L37" s="93"/>
      <c r="M37" s="93"/>
      <c r="N37" s="93"/>
      <c r="O37" s="93"/>
      <c r="P37" s="93"/>
      <c r="Q37" s="93"/>
      <c r="R37" s="94"/>
      <c r="S37" s="98"/>
      <c r="T37" s="99"/>
      <c r="U37" s="99"/>
      <c r="V37" s="100"/>
      <c r="W37" s="57"/>
      <c r="X37" s="82" t="str">
        <f>IFERROR(VLOOKUP(W37,'[1]リンクデータ新(ロック解除PASS　1111) '!$B:$C,2,0),"")</f>
        <v/>
      </c>
      <c r="Y37" s="82"/>
      <c r="Z37" s="82"/>
      <c r="AA37" s="95"/>
    </row>
    <row r="38" spans="1:34" ht="17.100000000000001" customHeight="1" x14ac:dyDescent="0.15">
      <c r="A38" s="151">
        <v>3</v>
      </c>
      <c r="B38" s="152"/>
      <c r="C38" s="176">
        <v>5</v>
      </c>
      <c r="D38" s="177"/>
      <c r="E38" s="78" t="s">
        <v>148</v>
      </c>
      <c r="F38" s="79"/>
      <c r="G38" s="79"/>
      <c r="H38" s="80"/>
      <c r="I38" s="55"/>
      <c r="J38" s="87"/>
      <c r="K38" s="88"/>
      <c r="L38" s="86"/>
      <c r="M38" s="86"/>
      <c r="N38" s="75"/>
      <c r="O38" s="75"/>
      <c r="P38" s="75"/>
      <c r="Q38" s="88"/>
      <c r="R38" s="103"/>
      <c r="S38" s="96"/>
      <c r="T38" s="97"/>
      <c r="U38" s="101"/>
      <c r="V38" s="102"/>
      <c r="W38" s="70"/>
      <c r="X38" s="70"/>
      <c r="Y38" s="70"/>
      <c r="Z38" s="71"/>
      <c r="AA38" s="72"/>
      <c r="AD38" t="s">
        <v>88</v>
      </c>
      <c r="AF38" t="s">
        <v>92</v>
      </c>
      <c r="AH38" t="s">
        <v>101</v>
      </c>
    </row>
    <row r="39" spans="1:34" ht="12" customHeight="1" x14ac:dyDescent="0.15">
      <c r="A39" s="148"/>
      <c r="B39" s="149"/>
      <c r="C39" s="149"/>
      <c r="D39" s="150"/>
      <c r="E39" s="76"/>
      <c r="F39" s="77"/>
      <c r="G39" s="81" t="str">
        <f>IFERROR(VLOOKUP(E39,'[1]リンクデータ新(ロック解除PASS　1111) '!$B:$C,2,0),"")</f>
        <v/>
      </c>
      <c r="H39" s="82"/>
      <c r="I39" s="83"/>
      <c r="J39" s="84"/>
      <c r="K39" s="85"/>
      <c r="L39" s="85"/>
      <c r="M39" s="85"/>
      <c r="N39" s="141"/>
      <c r="O39" s="141"/>
      <c r="P39" s="73" t="str">
        <f>IFERROR(VLOOKUP(N39,'[1]リンクデータ新(ロック解除PASS　1111) '!$B:$C,2,0),"")</f>
        <v/>
      </c>
      <c r="Q39" s="73"/>
      <c r="R39" s="74"/>
      <c r="S39" s="98"/>
      <c r="T39" s="99"/>
      <c r="U39" s="99"/>
      <c r="V39" s="100"/>
      <c r="W39" s="57"/>
      <c r="X39" s="82" t="str">
        <f>IFERROR(VLOOKUP(W39,'[1]リンクデータ新(ロック解除PASS　1111) '!$B:$C,2,0),"")</f>
        <v/>
      </c>
      <c r="Y39" s="82"/>
      <c r="Z39" s="82"/>
      <c r="AA39" s="95"/>
      <c r="AD39" t="s">
        <v>89</v>
      </c>
      <c r="AF39" t="s">
        <v>93</v>
      </c>
      <c r="AH39" t="s">
        <v>70</v>
      </c>
    </row>
    <row r="40" spans="1:34" ht="17.100000000000001" customHeight="1" x14ac:dyDescent="0.15">
      <c r="A40" s="151">
        <v>4</v>
      </c>
      <c r="B40" s="152"/>
      <c r="C40" s="176">
        <v>3</v>
      </c>
      <c r="D40" s="177"/>
      <c r="E40" s="78" t="s">
        <v>149</v>
      </c>
      <c r="F40" s="79"/>
      <c r="G40" s="79"/>
      <c r="H40" s="80"/>
      <c r="I40" s="55" t="s">
        <v>124</v>
      </c>
      <c r="J40" s="87"/>
      <c r="K40" s="88"/>
      <c r="L40" s="86"/>
      <c r="M40" s="86"/>
      <c r="N40" s="75"/>
      <c r="O40" s="75"/>
      <c r="P40" s="75"/>
      <c r="Q40" s="88"/>
      <c r="R40" s="103"/>
      <c r="S40" s="96"/>
      <c r="T40" s="97"/>
      <c r="U40" s="101"/>
      <c r="V40" s="102"/>
      <c r="W40" s="70"/>
      <c r="X40" s="70"/>
      <c r="Y40" s="70"/>
      <c r="Z40" s="71"/>
      <c r="AA40" s="72"/>
      <c r="AD40" t="s">
        <v>90</v>
      </c>
      <c r="AF40" t="s">
        <v>94</v>
      </c>
      <c r="AH40" t="s">
        <v>103</v>
      </c>
    </row>
    <row r="41" spans="1:34" ht="12" customHeight="1" x14ac:dyDescent="0.15">
      <c r="A41" s="148"/>
      <c r="B41" s="149"/>
      <c r="C41" s="149"/>
      <c r="D41" s="150"/>
      <c r="E41" s="76" t="s">
        <v>158</v>
      </c>
      <c r="F41" s="77"/>
      <c r="G41" s="81" t="s">
        <v>159</v>
      </c>
      <c r="H41" s="82"/>
      <c r="I41" s="83"/>
      <c r="J41" s="84"/>
      <c r="K41" s="85"/>
      <c r="L41" s="85"/>
      <c r="M41" s="85"/>
      <c r="N41" s="141"/>
      <c r="O41" s="141"/>
      <c r="P41" s="73" t="str">
        <f>IFERROR(VLOOKUP(N41,'[1]リンクデータ新(ロック解除PASS　1111) '!$B:$C,2,0),"")</f>
        <v/>
      </c>
      <c r="Q41" s="73"/>
      <c r="R41" s="74"/>
      <c r="S41" s="98"/>
      <c r="T41" s="99"/>
      <c r="U41" s="99"/>
      <c r="V41" s="100"/>
      <c r="W41" s="57"/>
      <c r="X41" s="82" t="str">
        <f>IFERROR(VLOOKUP(W41,'[1]リンクデータ新(ロック解除PASS　1111) '!$B:$C,2,0),"")</f>
        <v/>
      </c>
      <c r="Y41" s="82"/>
      <c r="Z41" s="82"/>
      <c r="AA41" s="95"/>
    </row>
    <row r="42" spans="1:34" ht="17.100000000000001" customHeight="1" x14ac:dyDescent="0.15">
      <c r="A42" s="151">
        <v>6</v>
      </c>
      <c r="B42" s="152"/>
      <c r="C42" s="176">
        <v>4</v>
      </c>
      <c r="D42" s="177"/>
      <c r="E42" s="78" t="s">
        <v>150</v>
      </c>
      <c r="F42" s="79"/>
      <c r="G42" s="79"/>
      <c r="H42" s="80"/>
      <c r="I42" s="55"/>
      <c r="J42" s="87"/>
      <c r="K42" s="88"/>
      <c r="L42" s="86"/>
      <c r="M42" s="86"/>
      <c r="N42" s="75"/>
      <c r="O42" s="75"/>
      <c r="P42" s="75"/>
      <c r="Q42" s="88"/>
      <c r="R42" s="103"/>
      <c r="S42" s="96"/>
      <c r="T42" s="97"/>
      <c r="U42" s="101"/>
      <c r="V42" s="102"/>
      <c r="W42" s="70"/>
      <c r="X42" s="70"/>
      <c r="Y42" s="70"/>
      <c r="Z42" s="71"/>
      <c r="AA42" s="72"/>
    </row>
    <row r="43" spans="1:34" ht="12" customHeight="1" x14ac:dyDescent="0.15">
      <c r="A43" s="148"/>
      <c r="B43" s="149"/>
      <c r="C43" s="149"/>
      <c r="D43" s="150"/>
      <c r="E43" s="76" t="s">
        <v>126</v>
      </c>
      <c r="F43" s="77"/>
      <c r="G43" s="81" t="s">
        <v>177</v>
      </c>
      <c r="H43" s="82"/>
      <c r="I43" s="83"/>
      <c r="J43" s="84"/>
      <c r="K43" s="85"/>
      <c r="L43" s="85"/>
      <c r="M43" s="85"/>
      <c r="N43" s="141"/>
      <c r="O43" s="141"/>
      <c r="P43" s="73" t="str">
        <f>IFERROR(VLOOKUP(N43,'[1]リンクデータ新(ロック解除PASS　1111) '!$B:$C,2,0),"")</f>
        <v/>
      </c>
      <c r="Q43" s="73"/>
      <c r="R43" s="74"/>
      <c r="S43" s="98"/>
      <c r="T43" s="99"/>
      <c r="U43" s="99"/>
      <c r="V43" s="100"/>
      <c r="W43" s="57"/>
      <c r="X43" s="82" t="str">
        <f>IFERROR(VLOOKUP(W43,'[1]リンクデータ新(ロック解除PASS　1111) '!$B:$C,2,0),"")</f>
        <v/>
      </c>
      <c r="Y43" s="82"/>
      <c r="Z43" s="82"/>
      <c r="AA43" s="95"/>
    </row>
    <row r="44" spans="1:34" ht="17.100000000000001" customHeight="1" x14ac:dyDescent="0.15">
      <c r="A44" s="151">
        <v>9</v>
      </c>
      <c r="B44" s="152"/>
      <c r="C44" s="176">
        <v>7</v>
      </c>
      <c r="D44" s="177"/>
      <c r="E44" s="78" t="s">
        <v>139</v>
      </c>
      <c r="F44" s="79"/>
      <c r="G44" s="79"/>
      <c r="H44" s="80"/>
      <c r="I44" s="55" t="s">
        <v>151</v>
      </c>
      <c r="J44" s="87"/>
      <c r="K44" s="88"/>
      <c r="L44" s="86"/>
      <c r="M44" s="86"/>
      <c r="N44" s="75"/>
      <c r="O44" s="75"/>
      <c r="P44" s="75"/>
      <c r="Q44" s="88"/>
      <c r="R44" s="103"/>
      <c r="S44" s="96"/>
      <c r="T44" s="97"/>
      <c r="U44" s="101"/>
      <c r="V44" s="102"/>
      <c r="W44" s="70"/>
      <c r="X44" s="70"/>
      <c r="Y44" s="70"/>
      <c r="Z44" s="71"/>
      <c r="AA44" s="72"/>
      <c r="AH44" s="2"/>
    </row>
    <row r="45" spans="1:34" ht="12" customHeight="1" x14ac:dyDescent="0.15">
      <c r="A45" s="148" t="s">
        <v>165</v>
      </c>
      <c r="B45" s="149"/>
      <c r="C45" s="149"/>
      <c r="D45" s="150"/>
      <c r="E45" s="76" t="s">
        <v>126</v>
      </c>
      <c r="F45" s="77"/>
      <c r="G45" s="81" t="s">
        <v>164</v>
      </c>
      <c r="H45" s="82"/>
      <c r="I45" s="83"/>
      <c r="J45" s="84"/>
      <c r="K45" s="85"/>
      <c r="L45" s="85"/>
      <c r="M45" s="85"/>
      <c r="N45" s="141"/>
      <c r="O45" s="141"/>
      <c r="P45" s="73" t="str">
        <f>IFERROR(VLOOKUP(N45,'[1]リンクデータ新(ロック解除PASS　1111) '!$B:$C,2,0),"")</f>
        <v/>
      </c>
      <c r="Q45" s="73"/>
      <c r="R45" s="74"/>
      <c r="S45" s="98"/>
      <c r="T45" s="99"/>
      <c r="U45" s="99"/>
      <c r="V45" s="100"/>
      <c r="W45" s="57"/>
      <c r="X45" s="82" t="str">
        <f>IFERROR(VLOOKUP(W45,'[1]リンクデータ新(ロック解除PASS　1111) '!$B:$C,2,0),"")</f>
        <v/>
      </c>
      <c r="Y45" s="82"/>
      <c r="Z45" s="82"/>
      <c r="AA45" s="95"/>
    </row>
    <row r="46" spans="1:34" ht="17.100000000000001" customHeight="1" x14ac:dyDescent="0.15">
      <c r="A46" s="151">
        <v>15</v>
      </c>
      <c r="B46" s="152"/>
      <c r="C46" s="176">
        <v>8</v>
      </c>
      <c r="D46" s="177"/>
      <c r="E46" s="78" t="s">
        <v>152</v>
      </c>
      <c r="F46" s="79"/>
      <c r="G46" s="79"/>
      <c r="H46" s="80"/>
      <c r="I46" s="55" t="s">
        <v>178</v>
      </c>
      <c r="J46" s="87"/>
      <c r="K46" s="88"/>
      <c r="L46" s="86"/>
      <c r="M46" s="86"/>
      <c r="N46" s="75"/>
      <c r="O46" s="75"/>
      <c r="P46" s="75"/>
      <c r="Q46" s="88"/>
      <c r="R46" s="103"/>
      <c r="S46" s="96"/>
      <c r="T46" s="97"/>
      <c r="U46" s="101"/>
      <c r="V46" s="102"/>
      <c r="W46" s="70"/>
      <c r="X46" s="70"/>
      <c r="Y46" s="70"/>
      <c r="Z46" s="71"/>
      <c r="AA46" s="72"/>
    </row>
    <row r="47" spans="1:34" ht="12" customHeight="1" x14ac:dyDescent="0.15">
      <c r="A47" s="148" t="s">
        <v>153</v>
      </c>
      <c r="B47" s="149"/>
      <c r="C47" s="149"/>
      <c r="D47" s="150"/>
      <c r="E47" s="76" t="s">
        <v>126</v>
      </c>
      <c r="F47" s="77"/>
      <c r="G47" s="81" t="s">
        <v>154</v>
      </c>
      <c r="H47" s="82"/>
      <c r="I47" s="83"/>
      <c r="J47" s="84"/>
      <c r="K47" s="85"/>
      <c r="L47" s="85"/>
      <c r="M47" s="85"/>
      <c r="N47" s="141"/>
      <c r="O47" s="141"/>
      <c r="P47" s="73" t="str">
        <f>IFERROR(VLOOKUP(N47,'[1]リンクデータ新(ロック解除PASS　1111) '!$B:$C,2,0),"")</f>
        <v/>
      </c>
      <c r="Q47" s="73"/>
      <c r="R47" s="74"/>
      <c r="S47" s="98"/>
      <c r="T47" s="99"/>
      <c r="U47" s="99"/>
      <c r="V47" s="100"/>
      <c r="W47" s="57"/>
      <c r="X47" s="82" t="str">
        <f>IFERROR(VLOOKUP(W47,'[1]リンクデータ新(ロック解除PASS　1111) '!$B:$C,2,0),"")</f>
        <v/>
      </c>
      <c r="Y47" s="82"/>
      <c r="Z47" s="82"/>
      <c r="AA47" s="95"/>
      <c r="AG47" t="s">
        <v>73</v>
      </c>
      <c r="AH47" s="62" t="s">
        <v>99</v>
      </c>
    </row>
    <row r="48" spans="1:34" ht="17.100000000000001" customHeight="1" x14ac:dyDescent="0.15">
      <c r="A48" s="151">
        <v>1</v>
      </c>
      <c r="B48" s="152"/>
      <c r="C48" s="176" t="s">
        <v>132</v>
      </c>
      <c r="D48" s="177"/>
      <c r="E48" s="78" t="s">
        <v>122</v>
      </c>
      <c r="F48" s="79"/>
      <c r="G48" s="79"/>
      <c r="H48" s="80"/>
      <c r="I48" s="55"/>
      <c r="J48" s="87"/>
      <c r="K48" s="88"/>
      <c r="L48" s="86"/>
      <c r="M48" s="86"/>
      <c r="N48" s="75"/>
      <c r="O48" s="75"/>
      <c r="P48" s="75"/>
      <c r="Q48" s="88"/>
      <c r="R48" s="103"/>
      <c r="S48" s="96"/>
      <c r="T48" s="97"/>
      <c r="U48" s="101"/>
      <c r="V48" s="102"/>
      <c r="W48" s="70"/>
      <c r="X48" s="70"/>
      <c r="Y48" s="70"/>
      <c r="Z48" s="71"/>
      <c r="AA48" s="72"/>
      <c r="AG48" t="s">
        <v>63</v>
      </c>
      <c r="AH48" s="62" t="s">
        <v>100</v>
      </c>
    </row>
    <row r="49" spans="1:34" ht="12" customHeight="1" x14ac:dyDescent="0.15">
      <c r="A49" s="148"/>
      <c r="B49" s="149"/>
      <c r="C49" s="149"/>
      <c r="D49" s="150"/>
      <c r="E49" s="76"/>
      <c r="F49" s="77"/>
      <c r="G49" s="81" t="str">
        <f>IFERROR(VLOOKUP(E49,'[1]リンクデータ新(ロック解除PASS　1111) '!$B:$C,2,0),"")</f>
        <v/>
      </c>
      <c r="H49" s="82"/>
      <c r="I49" s="83"/>
      <c r="J49" s="84"/>
      <c r="K49" s="85"/>
      <c r="L49" s="85"/>
      <c r="M49" s="85"/>
      <c r="N49" s="141"/>
      <c r="O49" s="141"/>
      <c r="P49" s="73" t="str">
        <f>IFERROR(VLOOKUP(N49,'[1]リンクデータ新(ロック解除PASS　1111) '!$B:$C,2,0),"")</f>
        <v/>
      </c>
      <c r="Q49" s="73"/>
      <c r="R49" s="74"/>
      <c r="S49" s="98"/>
      <c r="T49" s="99"/>
      <c r="U49" s="99"/>
      <c r="V49" s="100"/>
      <c r="W49" s="57"/>
      <c r="X49" s="82" t="str">
        <f>IFERROR(VLOOKUP(W49,'[1]リンクデータ新(ロック解除PASS　1111) '!$B:$C,2,0),"")</f>
        <v/>
      </c>
      <c r="Y49" s="82"/>
      <c r="Z49" s="82"/>
      <c r="AA49" s="95"/>
      <c r="AG49" t="s">
        <v>64</v>
      </c>
      <c r="AH49" s="62" t="s">
        <v>95</v>
      </c>
    </row>
    <row r="50" spans="1:34" ht="17.100000000000001" customHeight="1" x14ac:dyDescent="0.15">
      <c r="A50" s="151">
        <v>15</v>
      </c>
      <c r="B50" s="152"/>
      <c r="C50" s="176">
        <v>8</v>
      </c>
      <c r="D50" s="177"/>
      <c r="E50" s="78" t="s">
        <v>160</v>
      </c>
      <c r="F50" s="79"/>
      <c r="G50" s="79"/>
      <c r="H50" s="80"/>
      <c r="I50" s="55" t="s">
        <v>179</v>
      </c>
      <c r="J50" s="87"/>
      <c r="K50" s="88"/>
      <c r="L50" s="86"/>
      <c r="M50" s="86"/>
      <c r="N50" s="75"/>
      <c r="O50" s="75"/>
      <c r="P50" s="75"/>
      <c r="Q50" s="88"/>
      <c r="R50" s="103"/>
      <c r="S50" s="96"/>
      <c r="T50" s="97"/>
      <c r="U50" s="101"/>
      <c r="V50" s="102"/>
      <c r="W50" s="70"/>
      <c r="X50" s="70"/>
      <c r="Y50" s="70"/>
      <c r="Z50" s="71"/>
      <c r="AA50" s="72"/>
      <c r="AG50" t="s">
        <v>65</v>
      </c>
      <c r="AH50" s="62" t="s">
        <v>96</v>
      </c>
    </row>
    <row r="51" spans="1:34" ht="12" customHeight="1" thickBot="1" x14ac:dyDescent="0.2">
      <c r="A51" s="148"/>
      <c r="B51" s="149"/>
      <c r="C51" s="149"/>
      <c r="D51" s="150"/>
      <c r="E51" s="76"/>
      <c r="F51" s="77"/>
      <c r="G51" s="81" t="str">
        <f>IFERROR(VLOOKUP(E51,'[1]リンクデータ新(ロック解除PASS　1111) '!$B:$C,2,0),"")</f>
        <v/>
      </c>
      <c r="H51" s="82"/>
      <c r="I51" s="83"/>
      <c r="J51" s="84"/>
      <c r="K51" s="85"/>
      <c r="L51" s="85"/>
      <c r="M51" s="85"/>
      <c r="N51" s="141"/>
      <c r="O51" s="141"/>
      <c r="P51" s="73" t="str">
        <f>IFERROR(VLOOKUP(N51,'[1]リンクデータ新(ロック解除PASS　1111) '!$B:$C,2,0),"")</f>
        <v/>
      </c>
      <c r="Q51" s="73"/>
      <c r="R51" s="74"/>
      <c r="S51" s="120"/>
      <c r="T51" s="121"/>
      <c r="U51" s="121"/>
      <c r="V51" s="122"/>
      <c r="W51" s="56"/>
      <c r="X51" s="143" t="str">
        <f>IFERROR(VLOOKUP(W51,'[1]リンクデータ新(ロック解除PASS　1111) '!$B:$C,2,0),"")</f>
        <v/>
      </c>
      <c r="Y51" s="143"/>
      <c r="Z51" s="143"/>
      <c r="AA51" s="256"/>
      <c r="AG51" t="s">
        <v>66</v>
      </c>
      <c r="AH51" s="62" t="s">
        <v>97</v>
      </c>
    </row>
    <row r="52" spans="1:34" ht="17.100000000000001" customHeight="1" x14ac:dyDescent="0.15">
      <c r="A52" s="151">
        <v>14</v>
      </c>
      <c r="B52" s="152"/>
      <c r="C52" s="176">
        <v>8</v>
      </c>
      <c r="D52" s="177"/>
      <c r="E52" s="78" t="s">
        <v>160</v>
      </c>
      <c r="F52" s="79"/>
      <c r="G52" s="79"/>
      <c r="H52" s="80"/>
      <c r="I52" s="55" t="s">
        <v>180</v>
      </c>
      <c r="J52" s="87"/>
      <c r="K52" s="88"/>
      <c r="L52" s="86"/>
      <c r="M52" s="86"/>
      <c r="N52" s="75"/>
      <c r="O52" s="75"/>
      <c r="P52" s="75"/>
      <c r="Q52" s="88"/>
      <c r="R52" s="103"/>
      <c r="S52" s="236" t="s">
        <v>98</v>
      </c>
      <c r="T52" s="237"/>
      <c r="U52" s="237"/>
      <c r="V52" s="238"/>
      <c r="W52" s="104" t="s">
        <v>96</v>
      </c>
      <c r="X52" s="105"/>
      <c r="Y52" s="105"/>
      <c r="Z52" s="105"/>
      <c r="AA52" s="106"/>
      <c r="AG52" t="s">
        <v>84</v>
      </c>
      <c r="AH52" s="61"/>
    </row>
    <row r="53" spans="1:34" ht="12" customHeight="1" x14ac:dyDescent="0.15">
      <c r="A53" s="148"/>
      <c r="B53" s="149"/>
      <c r="C53" s="149"/>
      <c r="D53" s="150"/>
      <c r="E53" s="76"/>
      <c r="F53" s="77"/>
      <c r="G53" s="81" t="str">
        <f>IFERROR(VLOOKUP(E53,'[1]リンクデータ新(ロック解除PASS　1111) '!$B:$C,2,0),"")</f>
        <v/>
      </c>
      <c r="H53" s="82"/>
      <c r="I53" s="83"/>
      <c r="J53" s="84"/>
      <c r="K53" s="85"/>
      <c r="L53" s="85"/>
      <c r="M53" s="85"/>
      <c r="N53" s="141"/>
      <c r="O53" s="141"/>
      <c r="P53" s="73" t="str">
        <f>IFERROR(VLOOKUP(N53,'[1]リンクデータ新(ロック解除PASS　1111) '!$B:$C,2,0),"")</f>
        <v/>
      </c>
      <c r="Q53" s="73"/>
      <c r="R53" s="74"/>
      <c r="S53" s="239"/>
      <c r="T53" s="240"/>
      <c r="U53" s="240"/>
      <c r="V53" s="241"/>
      <c r="W53" s="107"/>
      <c r="X53" s="108"/>
      <c r="Y53" s="108"/>
      <c r="Z53" s="108"/>
      <c r="AA53" s="109"/>
      <c r="AG53" t="s">
        <v>91</v>
      </c>
    </row>
    <row r="54" spans="1:34" ht="17.100000000000001" customHeight="1" x14ac:dyDescent="0.15">
      <c r="A54" s="151">
        <v>3</v>
      </c>
      <c r="B54" s="152"/>
      <c r="C54" s="176">
        <v>5</v>
      </c>
      <c r="D54" s="177"/>
      <c r="E54" s="78" t="s">
        <v>148</v>
      </c>
      <c r="F54" s="79"/>
      <c r="G54" s="79"/>
      <c r="H54" s="80"/>
      <c r="I54" s="55"/>
      <c r="J54" s="87"/>
      <c r="K54" s="88"/>
      <c r="L54" s="86"/>
      <c r="M54" s="86"/>
      <c r="N54" s="75"/>
      <c r="O54" s="75"/>
      <c r="P54" s="75"/>
      <c r="Q54" s="88"/>
      <c r="R54" s="103"/>
      <c r="S54" s="234" t="s">
        <v>68</v>
      </c>
      <c r="T54" s="235"/>
      <c r="U54" s="235"/>
      <c r="V54" s="235"/>
      <c r="W54" s="251" t="s">
        <v>127</v>
      </c>
      <c r="X54" s="252"/>
      <c r="Y54" s="252"/>
      <c r="Z54" s="252"/>
      <c r="AA54" s="253"/>
      <c r="AG54" t="s">
        <v>85</v>
      </c>
    </row>
    <row r="55" spans="1:34" ht="12" customHeight="1" x14ac:dyDescent="0.15">
      <c r="A55" s="148"/>
      <c r="B55" s="149"/>
      <c r="C55" s="149"/>
      <c r="D55" s="150"/>
      <c r="E55" s="76"/>
      <c r="F55" s="77"/>
      <c r="G55" s="81" t="str">
        <f>IFERROR(VLOOKUP(E55,'[1]リンクデータ新(ロック解除PASS　1111) '!$B:$C,2,0),"")</f>
        <v/>
      </c>
      <c r="H55" s="82"/>
      <c r="I55" s="83"/>
      <c r="J55" s="84"/>
      <c r="K55" s="85"/>
      <c r="L55" s="85"/>
      <c r="M55" s="85"/>
      <c r="N55" s="141"/>
      <c r="O55" s="141"/>
      <c r="P55" s="73" t="str">
        <f>IFERROR(VLOOKUP(N55,'[1]リンクデータ新(ロック解除PASS　1111) '!$B:$C,2,0),"")</f>
        <v/>
      </c>
      <c r="Q55" s="73"/>
      <c r="R55" s="74"/>
      <c r="S55" s="234"/>
      <c r="T55" s="235"/>
      <c r="U55" s="235"/>
      <c r="V55" s="235"/>
      <c r="W55" s="251"/>
      <c r="X55" s="252"/>
      <c r="Y55" s="252"/>
      <c r="Z55" s="252"/>
      <c r="AA55" s="253"/>
      <c r="AG55" t="s">
        <v>86</v>
      </c>
    </row>
    <row r="56" spans="1:34" ht="17.100000000000001" customHeight="1" x14ac:dyDescent="0.15">
      <c r="A56" s="151">
        <v>10</v>
      </c>
      <c r="B56" s="152"/>
      <c r="C56" s="176">
        <v>2</v>
      </c>
      <c r="D56" s="177"/>
      <c r="E56" s="78" t="s">
        <v>161</v>
      </c>
      <c r="F56" s="79"/>
      <c r="G56" s="79"/>
      <c r="H56" s="80"/>
      <c r="I56" s="55"/>
      <c r="J56" s="87"/>
      <c r="K56" s="88"/>
      <c r="L56" s="86"/>
      <c r="M56" s="86"/>
      <c r="N56" s="75"/>
      <c r="O56" s="75"/>
      <c r="P56" s="75"/>
      <c r="Q56" s="88"/>
      <c r="R56" s="103"/>
      <c r="S56" s="242" t="s">
        <v>33</v>
      </c>
      <c r="T56" s="243"/>
      <c r="U56" s="243"/>
      <c r="V56" s="243"/>
      <c r="W56" s="245" t="s">
        <v>78</v>
      </c>
      <c r="X56" s="246"/>
      <c r="Y56" s="246"/>
      <c r="Z56" s="246"/>
      <c r="AA56" s="247"/>
      <c r="AG56" t="s">
        <v>74</v>
      </c>
    </row>
    <row r="57" spans="1:34" ht="12" customHeight="1" x14ac:dyDescent="0.15">
      <c r="A57" s="148" t="s">
        <v>166</v>
      </c>
      <c r="B57" s="149"/>
      <c r="C57" s="149"/>
      <c r="D57" s="150"/>
      <c r="E57" s="76">
        <v>414</v>
      </c>
      <c r="F57" s="77"/>
      <c r="G57" s="81" t="str">
        <f>IFERROR(VLOOKUP(E57,'[1]リンクデータ新(ロック解除PASS　1111) '!$B:$C,2,0),"")</f>
        <v>GDM3020N-010PQ PR1535(京セラ)</v>
      </c>
      <c r="H57" s="82"/>
      <c r="I57" s="83"/>
      <c r="J57" s="84"/>
      <c r="K57" s="85"/>
      <c r="L57" s="85"/>
      <c r="M57" s="85"/>
      <c r="N57" s="141"/>
      <c r="O57" s="141"/>
      <c r="P57" s="73" t="str">
        <f>IFERROR(VLOOKUP(N57,'[1]リンクデータ新(ロック解除PASS　1111) '!$B:$C,2,0),"")</f>
        <v/>
      </c>
      <c r="Q57" s="73"/>
      <c r="R57" s="74"/>
      <c r="S57" s="234"/>
      <c r="T57" s="235"/>
      <c r="U57" s="235"/>
      <c r="V57" s="235"/>
      <c r="W57" s="251"/>
      <c r="X57" s="252"/>
      <c r="Y57" s="252"/>
      <c r="Z57" s="252"/>
      <c r="AA57" s="253"/>
      <c r="AG57" t="s">
        <v>87</v>
      </c>
    </row>
    <row r="58" spans="1:34" ht="17.100000000000001" customHeight="1" x14ac:dyDescent="0.15">
      <c r="A58" s="151"/>
      <c r="B58" s="152"/>
      <c r="C58" s="176"/>
      <c r="D58" s="177"/>
      <c r="E58" s="78"/>
      <c r="F58" s="79"/>
      <c r="G58" s="79"/>
      <c r="H58" s="80"/>
      <c r="I58" s="55"/>
      <c r="J58" s="87"/>
      <c r="K58" s="88"/>
      <c r="L58" s="86"/>
      <c r="M58" s="86"/>
      <c r="N58" s="75"/>
      <c r="O58" s="75"/>
      <c r="P58" s="75"/>
      <c r="Q58" s="88"/>
      <c r="R58" s="103"/>
      <c r="S58" s="242" t="s">
        <v>102</v>
      </c>
      <c r="T58" s="243"/>
      <c r="U58" s="243"/>
      <c r="V58" s="244"/>
      <c r="W58" s="245" t="s">
        <v>101</v>
      </c>
      <c r="X58" s="246"/>
      <c r="Y58" s="246"/>
      <c r="Z58" s="246"/>
      <c r="AA58" s="247"/>
      <c r="AG58" t="s">
        <v>67</v>
      </c>
    </row>
    <row r="59" spans="1:34" ht="12" customHeight="1" thickBot="1" x14ac:dyDescent="0.2">
      <c r="A59" s="204"/>
      <c r="B59" s="205"/>
      <c r="C59" s="205"/>
      <c r="D59" s="206"/>
      <c r="E59" s="219"/>
      <c r="F59" s="220"/>
      <c r="G59" s="211" t="str">
        <f>IFERROR(VLOOKUP(E59,'[1]リンクデータ新(ロック解除PASS　1111) '!$B:$C,2,0),"")</f>
        <v/>
      </c>
      <c r="H59" s="212"/>
      <c r="I59" s="213"/>
      <c r="J59" s="214"/>
      <c r="K59" s="215"/>
      <c r="L59" s="215"/>
      <c r="M59" s="215"/>
      <c r="N59" s="218"/>
      <c r="O59" s="218"/>
      <c r="P59" s="254" t="str">
        <f>IFERROR(VLOOKUP(N59,'[1]リンクデータ新(ロック解除PASS　1111) '!$B:$C,2,0),"")</f>
        <v/>
      </c>
      <c r="Q59" s="254"/>
      <c r="R59" s="255"/>
      <c r="S59" s="239" t="s">
        <v>10</v>
      </c>
      <c r="T59" s="240"/>
      <c r="U59" s="240"/>
      <c r="V59" s="241"/>
      <c r="W59" s="248"/>
      <c r="X59" s="249"/>
      <c r="Y59" s="249"/>
      <c r="Z59" s="249"/>
      <c r="AA59" s="250"/>
      <c r="AG59" t="s">
        <v>69</v>
      </c>
    </row>
    <row r="60" spans="1:34" ht="20.100000000000001" customHeight="1" x14ac:dyDescent="0.15">
      <c r="A60" s="207" t="s">
        <v>77</v>
      </c>
      <c r="B60" s="208"/>
      <c r="C60" s="208"/>
      <c r="D60" s="208"/>
      <c r="E60" s="216" t="s">
        <v>8</v>
      </c>
      <c r="F60" s="208"/>
      <c r="G60" s="49" t="s">
        <v>43</v>
      </c>
      <c r="H60" s="217" t="s">
        <v>49</v>
      </c>
      <c r="I60" s="217"/>
      <c r="J60" s="217" t="s">
        <v>75</v>
      </c>
      <c r="K60" s="217"/>
      <c r="L60" s="217"/>
      <c r="M60" s="217" t="s">
        <v>54</v>
      </c>
      <c r="N60" s="217"/>
      <c r="O60" s="217"/>
      <c r="P60" s="50" t="s">
        <v>44</v>
      </c>
      <c r="Q60" s="232" t="s">
        <v>71</v>
      </c>
      <c r="R60" s="233"/>
      <c r="S60" s="225" t="s">
        <v>61</v>
      </c>
      <c r="T60" s="226"/>
      <c r="U60" s="226"/>
      <c r="V60" s="226"/>
      <c r="W60" s="222" t="s">
        <v>128</v>
      </c>
      <c r="X60" s="223"/>
      <c r="Y60" s="223"/>
      <c r="Z60" s="223"/>
      <c r="AA60" s="224"/>
    </row>
    <row r="61" spans="1:34" ht="20.100000000000001" customHeight="1" thickBot="1" x14ac:dyDescent="0.2">
      <c r="A61" s="201">
        <v>45611</v>
      </c>
      <c r="B61" s="202"/>
      <c r="C61" s="202"/>
      <c r="D61" s="202"/>
      <c r="E61" s="203" t="s">
        <v>176</v>
      </c>
      <c r="F61" s="202"/>
      <c r="G61" s="54" t="s">
        <v>172</v>
      </c>
      <c r="H61" s="209" t="s">
        <v>170</v>
      </c>
      <c r="I61" s="209"/>
      <c r="J61" s="210">
        <v>160</v>
      </c>
      <c r="K61" s="210"/>
      <c r="L61" s="210"/>
      <c r="M61" s="229">
        <f>IF(ISERROR(82800/J61),"",82800/J61)</f>
        <v>517.5</v>
      </c>
      <c r="N61" s="229"/>
      <c r="O61" s="229"/>
      <c r="P61" s="51">
        <f>IF(ISERROR(M61/P8),"",M61/P8)</f>
        <v>8.5857954545454547</v>
      </c>
      <c r="Q61" s="230" t="s">
        <v>173</v>
      </c>
      <c r="R61" s="231"/>
      <c r="S61" s="227" t="s">
        <v>60</v>
      </c>
      <c r="T61" s="228"/>
      <c r="U61" s="228"/>
      <c r="V61" s="228"/>
      <c r="W61" s="203" t="s">
        <v>89</v>
      </c>
      <c r="X61" s="202"/>
      <c r="Y61" s="202"/>
      <c r="Z61" s="202"/>
      <c r="AA61" s="221"/>
    </row>
    <row r="62" spans="1:34" ht="11.25" customHeight="1" x14ac:dyDescent="0.15">
      <c r="A62" s="4"/>
      <c r="B62" s="4"/>
      <c r="C62" s="5"/>
      <c r="D62" s="5"/>
      <c r="E62" s="5"/>
      <c r="F62" s="5"/>
      <c r="G62" s="5"/>
      <c r="H62" s="5"/>
      <c r="I62" s="5"/>
      <c r="J62" s="6"/>
      <c r="K62" s="5"/>
      <c r="L62" s="5"/>
      <c r="M62" s="5"/>
      <c r="N62" s="5"/>
      <c r="O62" s="5"/>
      <c r="P62" s="5"/>
      <c r="Q62" s="5"/>
      <c r="R62" s="7"/>
      <c r="S62" s="7"/>
      <c r="T62" s="7"/>
      <c r="U62" s="7"/>
      <c r="V62" s="7"/>
      <c r="W62" s="7"/>
      <c r="X62" s="11"/>
      <c r="Y62" s="12" t="s">
        <v>62</v>
      </c>
      <c r="Z62" s="7"/>
      <c r="AA62" s="7"/>
      <c r="AB62" s="3"/>
      <c r="AC62" s="3"/>
    </row>
    <row r="63" spans="1:34" x14ac:dyDescent="0.15">
      <c r="R63" s="2"/>
    </row>
    <row r="64" spans="1:34" x14ac:dyDescent="0.15">
      <c r="R64" s="2"/>
    </row>
    <row r="65" spans="18:18" x14ac:dyDescent="0.15">
      <c r="R65" s="2"/>
    </row>
    <row r="65463" spans="8:8" x14ac:dyDescent="0.15">
      <c r="H65463" t="s">
        <v>76</v>
      </c>
    </row>
  </sheetData>
  <sheetProtection formatCells="0" formatColumns="0" formatRows="0" insertColumns="0" insertRows="0" insertHyperlinks="0" deleteColumns="0" deleteRows="0" sort="0" autoFilter="0" pivotTables="0"/>
  <mergeCells count="366">
    <mergeCell ref="S58:V58"/>
    <mergeCell ref="S59:V59"/>
    <mergeCell ref="W58:AA58"/>
    <mergeCell ref="W59:AA59"/>
    <mergeCell ref="J50:K50"/>
    <mergeCell ref="J54:K54"/>
    <mergeCell ref="L54:M54"/>
    <mergeCell ref="W54:AA55"/>
    <mergeCell ref="S56:V57"/>
    <mergeCell ref="W56:AA57"/>
    <mergeCell ref="L50:M50"/>
    <mergeCell ref="P59:R59"/>
    <mergeCell ref="Q56:R56"/>
    <mergeCell ref="N52:P52"/>
    <mergeCell ref="S51:V51"/>
    <mergeCell ref="X51:AA51"/>
    <mergeCell ref="Q52:R52"/>
    <mergeCell ref="N50:P50"/>
    <mergeCell ref="A47:D47"/>
    <mergeCell ref="E46:H46"/>
    <mergeCell ref="E47:F47"/>
    <mergeCell ref="G47:I47"/>
    <mergeCell ref="A46:B46"/>
    <mergeCell ref="C46:D46"/>
    <mergeCell ref="A49:D49"/>
    <mergeCell ref="A51:D51"/>
    <mergeCell ref="E51:F51"/>
    <mergeCell ref="A48:B48"/>
    <mergeCell ref="C48:D48"/>
    <mergeCell ref="A50:B50"/>
    <mergeCell ref="C50:D50"/>
    <mergeCell ref="E50:H50"/>
    <mergeCell ref="N43:O43"/>
    <mergeCell ref="N45:O45"/>
    <mergeCell ref="P45:R45"/>
    <mergeCell ref="S48:T48"/>
    <mergeCell ref="N54:P54"/>
    <mergeCell ref="E42:H42"/>
    <mergeCell ref="L42:M42"/>
    <mergeCell ref="N47:O47"/>
    <mergeCell ref="W40:Y40"/>
    <mergeCell ref="W42:Y42"/>
    <mergeCell ref="Q42:R42"/>
    <mergeCell ref="P47:R47"/>
    <mergeCell ref="Q50:R50"/>
    <mergeCell ref="S54:V55"/>
    <mergeCell ref="Q54:R54"/>
    <mergeCell ref="S52:V53"/>
    <mergeCell ref="P43:R43"/>
    <mergeCell ref="L44:M44"/>
    <mergeCell ref="N49:O49"/>
    <mergeCell ref="S43:V43"/>
    <mergeCell ref="G55:I55"/>
    <mergeCell ref="N51:O51"/>
    <mergeCell ref="P51:R51"/>
    <mergeCell ref="N48:P48"/>
    <mergeCell ref="X13:AA13"/>
    <mergeCell ref="N39:O39"/>
    <mergeCell ref="P39:R39"/>
    <mergeCell ref="A29:D29"/>
    <mergeCell ref="A31:D31"/>
    <mergeCell ref="A33:D33"/>
    <mergeCell ref="A42:B42"/>
    <mergeCell ref="C42:D42"/>
    <mergeCell ref="E41:F41"/>
    <mergeCell ref="A39:D39"/>
    <mergeCell ref="A41:D41"/>
    <mergeCell ref="A34:B34"/>
    <mergeCell ref="C34:D34"/>
    <mergeCell ref="J38:K38"/>
    <mergeCell ref="L38:M38"/>
    <mergeCell ref="J39:M39"/>
    <mergeCell ref="A40:B40"/>
    <mergeCell ref="A30:B30"/>
    <mergeCell ref="C30:D30"/>
    <mergeCell ref="C40:D40"/>
    <mergeCell ref="A35:D35"/>
    <mergeCell ref="A32:B32"/>
    <mergeCell ref="C32:D32"/>
    <mergeCell ref="E30:H30"/>
    <mergeCell ref="G41:I41"/>
    <mergeCell ref="G31:I31"/>
    <mergeCell ref="A45:D45"/>
    <mergeCell ref="G45:I45"/>
    <mergeCell ref="E45:F45"/>
    <mergeCell ref="A44:B44"/>
    <mergeCell ref="C44:D44"/>
    <mergeCell ref="E44:H44"/>
    <mergeCell ref="G37:I37"/>
    <mergeCell ref="E36:H36"/>
    <mergeCell ref="E35:F35"/>
    <mergeCell ref="G35:I35"/>
    <mergeCell ref="A37:D37"/>
    <mergeCell ref="A43:D43"/>
    <mergeCell ref="A36:B36"/>
    <mergeCell ref="C36:D36"/>
    <mergeCell ref="A38:B38"/>
    <mergeCell ref="C38:D38"/>
    <mergeCell ref="E39:F39"/>
    <mergeCell ref="E33:F33"/>
    <mergeCell ref="E38:H38"/>
    <mergeCell ref="W61:AA61"/>
    <mergeCell ref="Z42:AA42"/>
    <mergeCell ref="W60:AA60"/>
    <mergeCell ref="N58:P58"/>
    <mergeCell ref="Q58:R58"/>
    <mergeCell ref="S60:V60"/>
    <mergeCell ref="N46:P46"/>
    <mergeCell ref="Z50:AA50"/>
    <mergeCell ref="S61:V61"/>
    <mergeCell ref="M61:O61"/>
    <mergeCell ref="J45:M45"/>
    <mergeCell ref="S46:T46"/>
    <mergeCell ref="S50:T50"/>
    <mergeCell ref="J52:K52"/>
    <mergeCell ref="L52:M52"/>
    <mergeCell ref="J49:M49"/>
    <mergeCell ref="J51:M51"/>
    <mergeCell ref="J53:M53"/>
    <mergeCell ref="N53:O53"/>
    <mergeCell ref="P53:R53"/>
    <mergeCell ref="S47:V47"/>
    <mergeCell ref="S49:V49"/>
    <mergeCell ref="Q61:R61"/>
    <mergeCell ref="Q60:R60"/>
    <mergeCell ref="J61:L61"/>
    <mergeCell ref="E56:H56"/>
    <mergeCell ref="E57:F57"/>
    <mergeCell ref="G57:I57"/>
    <mergeCell ref="E55:F55"/>
    <mergeCell ref="G59:I59"/>
    <mergeCell ref="J59:M59"/>
    <mergeCell ref="J58:K58"/>
    <mergeCell ref="L58:M58"/>
    <mergeCell ref="E60:F60"/>
    <mergeCell ref="H60:I60"/>
    <mergeCell ref="J60:L60"/>
    <mergeCell ref="M60:O60"/>
    <mergeCell ref="N59:O59"/>
    <mergeCell ref="L56:M56"/>
    <mergeCell ref="J55:M55"/>
    <mergeCell ref="N55:O55"/>
    <mergeCell ref="J57:M57"/>
    <mergeCell ref="N57:O57"/>
    <mergeCell ref="J56:K56"/>
    <mergeCell ref="N56:P56"/>
    <mergeCell ref="E59:F59"/>
    <mergeCell ref="P55:R55"/>
    <mergeCell ref="P57:R57"/>
    <mergeCell ref="A61:D61"/>
    <mergeCell ref="E61:F61"/>
    <mergeCell ref="A59:D59"/>
    <mergeCell ref="C56:D56"/>
    <mergeCell ref="A60:D60"/>
    <mergeCell ref="A52:B52"/>
    <mergeCell ref="C52:D52"/>
    <mergeCell ref="A54:B54"/>
    <mergeCell ref="A53:D53"/>
    <mergeCell ref="A58:B58"/>
    <mergeCell ref="C58:D58"/>
    <mergeCell ref="E52:H52"/>
    <mergeCell ref="G53:I53"/>
    <mergeCell ref="E53:F53"/>
    <mergeCell ref="E54:H54"/>
    <mergeCell ref="H61:I61"/>
    <mergeCell ref="A57:D57"/>
    <mergeCell ref="C54:D54"/>
    <mergeCell ref="A56:B56"/>
    <mergeCell ref="A55:D55"/>
    <mergeCell ref="A7:F7"/>
    <mergeCell ref="G6:K6"/>
    <mergeCell ref="A6:F6"/>
    <mergeCell ref="W6:X6"/>
    <mergeCell ref="E58:H58"/>
    <mergeCell ref="R7:V7"/>
    <mergeCell ref="Q6:V6"/>
    <mergeCell ref="P7:Q7"/>
    <mergeCell ref="P8:Q8"/>
    <mergeCell ref="N38:P38"/>
    <mergeCell ref="Q38:R38"/>
    <mergeCell ref="N40:P40"/>
    <mergeCell ref="C10:D11"/>
    <mergeCell ref="L46:M46"/>
    <mergeCell ref="J47:M47"/>
    <mergeCell ref="E49:F49"/>
    <mergeCell ref="G51:I51"/>
    <mergeCell ref="J48:K48"/>
    <mergeCell ref="A19:D19"/>
    <mergeCell ref="A21:D21"/>
    <mergeCell ref="A23:D23"/>
    <mergeCell ref="E23:F23"/>
    <mergeCell ref="G23:I23"/>
    <mergeCell ref="G25:I25"/>
    <mergeCell ref="E29:F29"/>
    <mergeCell ref="G29:I29"/>
    <mergeCell ref="V1:W1"/>
    <mergeCell ref="V2:W2"/>
    <mergeCell ref="V3:W3"/>
    <mergeCell ref="Q5:V5"/>
    <mergeCell ref="S10:T11"/>
    <mergeCell ref="Q12:R12"/>
    <mergeCell ref="W12:Y12"/>
    <mergeCell ref="E16:H16"/>
    <mergeCell ref="E13:F13"/>
    <mergeCell ref="L7:O7"/>
    <mergeCell ref="X2:AA2"/>
    <mergeCell ref="X1:AA1"/>
    <mergeCell ref="X3:AA3"/>
    <mergeCell ref="A1:T3"/>
    <mergeCell ref="A5:F5"/>
    <mergeCell ref="H4:L4"/>
    <mergeCell ref="U10:V11"/>
    <mergeCell ref="R8:V8"/>
    <mergeCell ref="W8:X8"/>
    <mergeCell ref="G5:K5"/>
    <mergeCell ref="L5:P5"/>
    <mergeCell ref="A26:B26"/>
    <mergeCell ref="C26:D26"/>
    <mergeCell ref="A28:B28"/>
    <mergeCell ref="C28:D28"/>
    <mergeCell ref="A25:D25"/>
    <mergeCell ref="A27:D27"/>
    <mergeCell ref="A20:B20"/>
    <mergeCell ref="C20:D20"/>
    <mergeCell ref="A22:B22"/>
    <mergeCell ref="C22:D22"/>
    <mergeCell ref="G7:K7"/>
    <mergeCell ref="E28:H28"/>
    <mergeCell ref="G27:I27"/>
    <mergeCell ref="E27:F27"/>
    <mergeCell ref="E18:H18"/>
    <mergeCell ref="E25:F25"/>
    <mergeCell ref="E26:H26"/>
    <mergeCell ref="G8:K8"/>
    <mergeCell ref="J14:R15"/>
    <mergeCell ref="A8:F8"/>
    <mergeCell ref="L8:O8"/>
    <mergeCell ref="E24:H24"/>
    <mergeCell ref="A10:B11"/>
    <mergeCell ref="C14:D14"/>
    <mergeCell ref="A16:B16"/>
    <mergeCell ref="C16:D16"/>
    <mergeCell ref="A18:B18"/>
    <mergeCell ref="C18:D18"/>
    <mergeCell ref="A15:D15"/>
    <mergeCell ref="A17:D17"/>
    <mergeCell ref="A24:B24"/>
    <mergeCell ref="C24:D24"/>
    <mergeCell ref="E19:F19"/>
    <mergeCell ref="E10:P11"/>
    <mergeCell ref="E12:H12"/>
    <mergeCell ref="G13:I13"/>
    <mergeCell ref="A12:B12"/>
    <mergeCell ref="C12:D12"/>
    <mergeCell ref="A13:D13"/>
    <mergeCell ref="A14:B14"/>
    <mergeCell ref="Q10:R10"/>
    <mergeCell ref="Q11:R11"/>
    <mergeCell ref="J12:K12"/>
    <mergeCell ref="J13:M13"/>
    <mergeCell ref="N13:O13"/>
    <mergeCell ref="P13:R13"/>
    <mergeCell ref="L12:M12"/>
    <mergeCell ref="N12:P12"/>
    <mergeCell ref="G15:I15"/>
    <mergeCell ref="E14:H14"/>
    <mergeCell ref="E15:F15"/>
    <mergeCell ref="E17:F17"/>
    <mergeCell ref="E22:H22"/>
    <mergeCell ref="E21:F21"/>
    <mergeCell ref="E20:H20"/>
    <mergeCell ref="G21:I21"/>
    <mergeCell ref="G17:I17"/>
    <mergeCell ref="G19:I19"/>
    <mergeCell ref="U38:V38"/>
    <mergeCell ref="U40:V40"/>
    <mergeCell ref="N41:O41"/>
    <mergeCell ref="P41:R41"/>
    <mergeCell ref="U34:V34"/>
    <mergeCell ref="Q40:R40"/>
    <mergeCell ref="J36:R37"/>
    <mergeCell ref="J41:M41"/>
    <mergeCell ref="U42:V42"/>
    <mergeCell ref="N42:P42"/>
    <mergeCell ref="U36:V36"/>
    <mergeCell ref="Y5:AA5"/>
    <mergeCell ref="W5:X5"/>
    <mergeCell ref="Y6:AA6"/>
    <mergeCell ref="U14:V14"/>
    <mergeCell ref="S12:T12"/>
    <mergeCell ref="S13:V13"/>
    <mergeCell ref="U48:V48"/>
    <mergeCell ref="X47:AA47"/>
    <mergeCell ref="S15:V15"/>
    <mergeCell ref="Y7:AA7"/>
    <mergeCell ref="W7:X7"/>
    <mergeCell ref="Y8:AA8"/>
    <mergeCell ref="Z12:AA12"/>
    <mergeCell ref="Z14:AA14"/>
    <mergeCell ref="W14:Y14"/>
    <mergeCell ref="W10:Z11"/>
    <mergeCell ref="U12:V12"/>
    <mergeCell ref="S14:T14"/>
    <mergeCell ref="J16:AA33"/>
    <mergeCell ref="L6:P6"/>
    <mergeCell ref="X15:AA15"/>
    <mergeCell ref="U44:V44"/>
    <mergeCell ref="Q48:R48"/>
    <mergeCell ref="Q46:R46"/>
    <mergeCell ref="Q44:R44"/>
    <mergeCell ref="E34:H34"/>
    <mergeCell ref="J46:K46"/>
    <mergeCell ref="J40:K40"/>
    <mergeCell ref="J42:K42"/>
    <mergeCell ref="W52:AA53"/>
    <mergeCell ref="S35:V35"/>
    <mergeCell ref="X35:AA35"/>
    <mergeCell ref="S37:V37"/>
    <mergeCell ref="X37:AA37"/>
    <mergeCell ref="S39:V39"/>
    <mergeCell ref="X39:AA39"/>
    <mergeCell ref="S41:V41"/>
    <mergeCell ref="X41:AA41"/>
    <mergeCell ref="W50:Y50"/>
    <mergeCell ref="Z46:AA46"/>
    <mergeCell ref="Z44:AA44"/>
    <mergeCell ref="Z36:AA36"/>
    <mergeCell ref="W36:Y36"/>
    <mergeCell ref="Z38:AA38"/>
    <mergeCell ref="W38:Y38"/>
    <mergeCell ref="S34:T34"/>
    <mergeCell ref="U50:V50"/>
    <mergeCell ref="X43:AA43"/>
    <mergeCell ref="S45:V45"/>
    <mergeCell ref="X45:AA45"/>
    <mergeCell ref="U46:V46"/>
    <mergeCell ref="S44:T44"/>
    <mergeCell ref="Z40:AA40"/>
    <mergeCell ref="W44:Y44"/>
    <mergeCell ref="W46:Y46"/>
    <mergeCell ref="S40:T40"/>
    <mergeCell ref="S42:T42"/>
    <mergeCell ref="W48:Y48"/>
    <mergeCell ref="Z34:AA34"/>
    <mergeCell ref="W34:Y34"/>
    <mergeCell ref="P49:R49"/>
    <mergeCell ref="N44:P44"/>
    <mergeCell ref="E31:F31"/>
    <mergeCell ref="E32:H32"/>
    <mergeCell ref="G33:I33"/>
    <mergeCell ref="J43:M43"/>
    <mergeCell ref="E37:F37"/>
    <mergeCell ref="G49:I49"/>
    <mergeCell ref="E48:H48"/>
    <mergeCell ref="L40:M40"/>
    <mergeCell ref="J44:K44"/>
    <mergeCell ref="G39:I39"/>
    <mergeCell ref="E40:H40"/>
    <mergeCell ref="E43:F43"/>
    <mergeCell ref="G43:I43"/>
    <mergeCell ref="J34:R35"/>
    <mergeCell ref="X49:AA49"/>
    <mergeCell ref="Z48:AA48"/>
    <mergeCell ref="L48:M48"/>
    <mergeCell ref="S38:T38"/>
    <mergeCell ref="S36:T36"/>
  </mergeCells>
  <phoneticPr fontId="4"/>
  <dataValidations count="20">
    <dataValidation type="list" showInputMessage="1" sqref="E50:H50 E16:H16 E14:H14 E18:H18 W12:Y12 E58:H58 E28:H28 W48:Y48 E48:H48 W34:Y34 W36:Y36 W38:Y38 W40:Y40 W42:Y42 W14:Y14 W44:Y44 E20:H20 W46:Y46 W50:Y50 E30:H30 E24:H24 E40:H40 E22:H22 E34:H34 E56:H56 E46:H46 E52:H52 E42:H42 E36:H36 E32:H32 E38:H38 E26:H26 E44:H44 E54:H54" xr:uid="{3562E2B7-EEC3-4119-ABFB-BB6A93CA7BF6}">
      <formula1>$AF$12:$AF$32</formula1>
    </dataValidation>
    <dataValidation type="list" allowBlank="1" showInputMessage="1" sqref="N48:P48 N12:P12 N54:P54 N50:P50 N56:P56 N38:P38 N40:P40 N58:P58 N52:P52 N42:P42 N44:P44 N46:P46" xr:uid="{F762755C-8047-406F-A222-607A76933FAB}">
      <formula1>$AF$12:$AF$32</formula1>
    </dataValidation>
    <dataValidation type="list" errorStyle="information" allowBlank="1" showInputMessage="1" sqref="W54:AA55" xr:uid="{51D47143-64CF-4557-A9A3-79D499F29195}">
      <formula1>$AG$47:$AG$59</formula1>
    </dataValidation>
    <dataValidation type="list" allowBlank="1" showInputMessage="1" showErrorMessage="1" sqref="W56:AA57" xr:uid="{569E48B7-6DA6-4D87-A26E-F383459E11D3}">
      <formula1>$AH$38:$AH$39</formula1>
    </dataValidation>
    <dataValidation type="list" allowBlank="1" showInputMessage="1" showErrorMessage="1" sqref="AH44 AH52" xr:uid="{1772F4DC-C67A-424E-8755-EAE1F8F60096}">
      <formula1>$AJ$44:$AJ$45</formula1>
    </dataValidation>
    <dataValidation allowBlank="1" showInputMessage="1" showErrorMessage="1" promptTitle="補正番号" prompt="補正番号_x000a_" sqref="A12:B12" xr:uid="{2AAA21BC-32C1-411C-B8D3-5B64A7BD71A3}"/>
    <dataValidation allowBlank="1" showInputMessage="1" showErrorMessage="1" promptTitle="ツール番号" prompt="下2桁00は未入力_x000a__x000a_" sqref="C12:D12" xr:uid="{E98414A4-1AD0-47E2-960D-42B7BE35D538}"/>
    <dataValidation type="list" showInputMessage="1" promptTitle="工程名（刃工具名)" prompt="分かりやすい方を入力" sqref="E12:H12" xr:uid="{C47EBDDB-E38A-4AF9-998C-55B4F2FCEBCD}">
      <formula1>$AF$12:$AF$32</formula1>
    </dataValidation>
    <dataValidation allowBlank="1" showInputMessage="1" showErrorMessage="1" promptTitle="サイズ" prompt="サイズや特徴" sqref="I12" xr:uid="{EFF94E44-A4E4-4EC5-8055-4BB06C03A6EB}"/>
    <dataValidation allowBlank="1" showInputMessage="1" showErrorMessage="1" promptTitle="ツールセット情報" prompt="取付情報や突き出し量_x000a_" sqref="A13:D13" xr:uid="{7D5405CD-BDB4-41CA-B1CD-C3704A07FBD1}"/>
    <dataValidation allowBlank="1" showInputMessage="1" showErrorMessage="1" promptTitle="棚番" prompt="刃工具の棚番や『専用』など_x000a_" sqref="E13:F13" xr:uid="{E50CDA37-ECA8-4D2A-A492-B618C8008969}"/>
    <dataValidation allowBlank="1" showInputMessage="1" showErrorMessage="1" promptTitle="品番" prompt="棚番から自動入力、他は手入力_x000a_" sqref="G45:I45 G33:I33 G47:I47 G17:I17 G13:I13" xr:uid="{D9710CCD-D09B-44D3-B012-4338B91F33E6}"/>
    <dataValidation allowBlank="1" showInputMessage="1" showErrorMessage="1" promptTitle="調整方法" prompt="チャック閉じ時の内径（ピンゲージ径orボアーズマイクロにて測定)_x000a_もしくは閉じ時に掴み径からの締め付け角度_x000a__x000a_" sqref="Y6:AA6 Y8:AA8" xr:uid="{719CA36F-7747-441F-97E7-4E76110FE85F}"/>
    <dataValidation allowBlank="1" showInputMessage="1" showErrorMessage="1" promptTitle="自動入力" prompt="入力禁止_x000a_" sqref="P8:Q8" xr:uid="{DF70C6E7-5265-4205-A1E2-F3D5017BB848}"/>
    <dataValidation allowBlank="1" showInputMessage="1" showErrorMessage="1" promptTitle="自動入力" prompt="入力禁止" sqref="M61:P61" xr:uid="{424FEED4-612E-4F77-BF6E-58E10D46DFE8}"/>
    <dataValidation type="list" allowBlank="1" showInputMessage="1" sqref="AG12:AG13" xr:uid="{7131C1CF-D039-4DE2-927F-66362803E280}">
      <formula1>$E$63:$E$2109</formula1>
    </dataValidation>
    <dataValidation type="list" allowBlank="1" showInputMessage="1" sqref="W61:AA61" xr:uid="{A34B5378-75BA-470F-8887-1614467C9AD6}">
      <formula1>$AD$38:$AD$40</formula1>
    </dataValidation>
    <dataValidation type="list" allowBlank="1" showInputMessage="1" sqref="W60:AA60" xr:uid="{0206082C-15DA-4462-BCFD-A337B7A88A07}">
      <formula1>$AF$38:$AF$40</formula1>
    </dataValidation>
    <dataValidation type="list" allowBlank="1" showInputMessage="1" sqref="W52:AA53" xr:uid="{95A60AA9-3C76-4DA0-8B86-70AC0301827A}">
      <formula1>$AH$47:$AH$53</formula1>
    </dataValidation>
    <dataValidation type="list" allowBlank="1" showInputMessage="1" sqref="W58:AA58" xr:uid="{EADD0249-9861-4B89-9D51-11E8D90B7B8B}">
      <formula1>$AH$38:$AH$40</formula1>
    </dataValidation>
  </dataValidations>
  <pageMargins left="0.19685039370078741" right="0.19685039370078741" top="0.19685039370078741" bottom="0.19685039370078741" header="0.51181102362204722" footer="0.51181102362204722"/>
  <pageSetup paperSize="9" scale="97" orientation="portrait" verticalDpi="360" r:id="rId1"/>
  <headerFooter alignWithMargins="0"/>
  <ignoredErrors>
    <ignoredError sqref="Q11 AA11" unlockedFormula="1"/>
  </ignoredErrors>
  <drawing r:id="rId2"/>
  <legacyDrawing r:id="rId3"/>
  <oleObjects>
    <mc:AlternateContent xmlns:mc="http://schemas.openxmlformats.org/markup-compatibility/2006">
      <mc:Choice Requires="x14">
        <oleObject progId="zwRAPID15Pro" shapeId="1066" r:id="rId4">
          <objectPr defaultSize="0" autoPict="0" r:id="rId5">
            <anchor moveWithCells="1">
              <from>
                <xdr:col>14</xdr:col>
                <xdr:colOff>142875</xdr:colOff>
                <xdr:row>16</xdr:row>
                <xdr:rowOff>19050</xdr:rowOff>
              </from>
              <to>
                <xdr:col>23</xdr:col>
                <xdr:colOff>438150</xdr:colOff>
                <xdr:row>31</xdr:row>
                <xdr:rowOff>171450</xdr:rowOff>
              </to>
            </anchor>
          </objectPr>
        </oleObject>
      </mc:Choice>
      <mc:Fallback>
        <oleObject progId="zwRAPID15Pro" shapeId="1066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63"/>
  <sheetViews>
    <sheetView workbookViewId="0">
      <selection activeCell="N21" sqref="N21"/>
    </sheetView>
  </sheetViews>
  <sheetFormatPr defaultColWidth="4.375" defaultRowHeight="13.5" x14ac:dyDescent="0.15"/>
  <cols>
    <col min="1" max="1" width="1.625" style="48" customWidth="1"/>
    <col min="2" max="2" width="2.625" style="48" customWidth="1"/>
    <col min="3" max="3" width="1.625" style="48" customWidth="1"/>
    <col min="4" max="4" width="4.375" style="48" customWidth="1"/>
    <col min="5" max="5" width="2.125" style="48" customWidth="1"/>
    <col min="6" max="7" width="3.625" style="48" customWidth="1"/>
    <col min="8" max="8" width="5.625" style="48" customWidth="1"/>
    <col min="9" max="10" width="3.625" style="48" customWidth="1"/>
    <col min="11" max="11" width="1.625" style="48" customWidth="1"/>
    <col min="12" max="12" width="2.625" style="48" customWidth="1"/>
    <col min="13" max="13" width="1.625" style="48" customWidth="1"/>
    <col min="14" max="14" width="4.375" style="48" customWidth="1"/>
    <col min="15" max="15" width="2.125" style="48" customWidth="1"/>
    <col min="16" max="16" width="7" style="48" customWidth="1"/>
    <col min="17" max="17" width="1.5" style="48" customWidth="1"/>
    <col min="18" max="18" width="5.625" style="48" customWidth="1"/>
    <col min="19" max="20" width="3.625" style="48" customWidth="1"/>
    <col min="21" max="21" width="1.625" style="48" customWidth="1"/>
    <col min="22" max="22" width="2.625" style="48" customWidth="1"/>
    <col min="23" max="23" width="1.625" style="48" customWidth="1"/>
    <col min="24" max="24" width="4.375" style="48" customWidth="1"/>
    <col min="25" max="25" width="6.75" style="48" customWidth="1"/>
    <col min="26" max="27" width="4.25" style="48" customWidth="1"/>
    <col min="28" max="28" width="3.625" style="48" customWidth="1"/>
    <col min="29" max="29" width="7" style="48" customWidth="1"/>
    <col min="30" max="30" width="9" style="48" customWidth="1"/>
    <col min="31" max="31" width="1.625" style="48" customWidth="1"/>
    <col min="32" max="32" width="2.625" style="48" customWidth="1"/>
    <col min="33" max="33" width="1.625" style="48" customWidth="1"/>
    <col min="34" max="16384" width="4.375" style="48"/>
  </cols>
  <sheetData>
    <row r="1" spans="1:31" ht="15" customHeight="1" x14ac:dyDescent="0.15">
      <c r="A1" s="14"/>
      <c r="B1" s="14"/>
      <c r="C1" s="14"/>
      <c r="D1" s="14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7"/>
      <c r="Y1" s="15"/>
      <c r="Z1" s="15"/>
      <c r="AA1" s="18"/>
      <c r="AB1" s="19"/>
      <c r="AC1" s="19"/>
    </row>
    <row r="2" spans="1:31" ht="30.75" customHeight="1" x14ac:dyDescent="0.15">
      <c r="A2" s="267"/>
      <c r="B2" s="267"/>
      <c r="C2" s="267"/>
      <c r="D2" s="267"/>
      <c r="E2" s="268" t="s">
        <v>55</v>
      </c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  <c r="X2" s="15"/>
      <c r="Y2" s="284"/>
      <c r="Z2" s="284"/>
      <c r="AA2" s="15"/>
      <c r="AB2" s="20"/>
      <c r="AC2" s="20"/>
    </row>
    <row r="3" spans="1:31" ht="12" customHeight="1" x14ac:dyDescent="0.15">
      <c r="A3" s="15"/>
      <c r="B3" s="15"/>
      <c r="C3" s="15"/>
      <c r="D3" s="15"/>
      <c r="E3" s="15"/>
      <c r="F3" s="15"/>
      <c r="G3" s="15"/>
      <c r="H3" s="15"/>
      <c r="I3" s="276"/>
      <c r="J3" s="276"/>
      <c r="K3" s="276"/>
      <c r="L3" s="276"/>
      <c r="M3" s="276"/>
      <c r="N3" s="21"/>
      <c r="O3" s="15"/>
      <c r="P3" s="15"/>
      <c r="Q3" s="15"/>
      <c r="R3" s="15"/>
      <c r="S3" s="15"/>
      <c r="T3" s="15"/>
      <c r="U3" s="15"/>
      <c r="V3" s="22"/>
      <c r="W3" s="15"/>
      <c r="X3" s="15"/>
      <c r="Y3" s="21"/>
      <c r="Z3" s="21"/>
      <c r="AA3" s="21"/>
      <c r="AB3" s="20"/>
      <c r="AC3" s="20"/>
    </row>
    <row r="4" spans="1:31" ht="15" customHeight="1" x14ac:dyDescent="0.15">
      <c r="A4" s="271"/>
      <c r="B4" s="271"/>
      <c r="C4" s="271"/>
      <c r="D4" s="271"/>
      <c r="E4" s="271"/>
      <c r="F4" s="272"/>
      <c r="G4" s="273" t="s">
        <v>0</v>
      </c>
      <c r="H4" s="274"/>
      <c r="I4" s="274"/>
      <c r="J4" s="274"/>
      <c r="K4" s="274"/>
      <c r="L4" s="275"/>
      <c r="M4" s="277" t="s">
        <v>1</v>
      </c>
      <c r="N4" s="274"/>
      <c r="O4" s="274"/>
      <c r="P4" s="274"/>
      <c r="Q4" s="274"/>
      <c r="R4" s="275"/>
      <c r="S4" s="277" t="s">
        <v>37</v>
      </c>
      <c r="T4" s="274"/>
      <c r="U4" s="274"/>
      <c r="V4" s="274"/>
      <c r="W4" s="278"/>
      <c r="X4" s="285"/>
      <c r="Y4" s="271"/>
      <c r="Z4" s="271"/>
      <c r="AA4" s="13"/>
      <c r="AB4" s="20"/>
      <c r="AC4" s="20"/>
    </row>
    <row r="5" spans="1:31" ht="24.95" customHeight="1" x14ac:dyDescent="0.15">
      <c r="A5" s="269"/>
      <c r="B5" s="269"/>
      <c r="C5" s="269"/>
      <c r="D5" s="269"/>
      <c r="E5" s="269"/>
      <c r="F5" s="270"/>
      <c r="G5" s="282" t="str">
        <f>加工工程管理表!G6:K6</f>
        <v>08121-26312A</v>
      </c>
      <c r="H5" s="280"/>
      <c r="I5" s="280"/>
      <c r="J5" s="280"/>
      <c r="K5" s="280"/>
      <c r="L5" s="281"/>
      <c r="M5" s="279" t="str">
        <f>加工工程管理表!L6</f>
        <v>ホンタイ</v>
      </c>
      <c r="N5" s="280"/>
      <c r="O5" s="280"/>
      <c r="P5" s="280"/>
      <c r="Q5" s="280"/>
      <c r="R5" s="281"/>
      <c r="S5" s="279" t="str">
        <f>加工工程管理表!Q6</f>
        <v>不二プレシジョン</v>
      </c>
      <c r="T5" s="280"/>
      <c r="U5" s="280"/>
      <c r="V5" s="280"/>
      <c r="W5" s="286"/>
      <c r="X5" s="283"/>
      <c r="Y5" s="269"/>
      <c r="Z5" s="269"/>
      <c r="AA5" s="269"/>
      <c r="AB5" s="269"/>
      <c r="AC5" s="269"/>
    </row>
    <row r="6" spans="1:31" ht="9.9499999999999993" customHeight="1" x14ac:dyDescent="0.1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"/>
    </row>
    <row r="7" spans="1:31" ht="15" customHeight="1" x14ac:dyDescent="0.15">
      <c r="A7" s="289" t="s">
        <v>16</v>
      </c>
      <c r="B7" s="258"/>
      <c r="C7" s="264"/>
      <c r="D7" s="27"/>
      <c r="E7" s="263" t="s">
        <v>14</v>
      </c>
      <c r="F7" s="264"/>
      <c r="G7" s="258"/>
      <c r="H7" s="259"/>
      <c r="I7" s="258" t="s">
        <v>15</v>
      </c>
      <c r="J7" s="264"/>
      <c r="K7" s="258"/>
      <c r="L7" s="258"/>
      <c r="M7" s="258"/>
      <c r="N7" s="258"/>
      <c r="O7" s="258"/>
      <c r="P7" s="260"/>
      <c r="Q7" s="23"/>
      <c r="R7" s="28" t="s">
        <v>16</v>
      </c>
      <c r="S7" s="29"/>
      <c r="T7" s="263" t="s">
        <v>12</v>
      </c>
      <c r="U7" s="264"/>
      <c r="V7" s="257"/>
      <c r="W7" s="258"/>
      <c r="X7" s="259"/>
      <c r="Y7" s="27" t="s">
        <v>9</v>
      </c>
      <c r="Z7" s="257"/>
      <c r="AA7" s="258"/>
      <c r="AB7" s="258"/>
      <c r="AC7" s="260"/>
      <c r="AD7" s="3"/>
      <c r="AE7" s="3"/>
    </row>
    <row r="8" spans="1:31" ht="15" customHeight="1" x14ac:dyDescent="0.15">
      <c r="A8" s="292" t="s">
        <v>10</v>
      </c>
      <c r="B8" s="293"/>
      <c r="C8" s="293"/>
      <c r="D8" s="293"/>
      <c r="E8" s="287"/>
      <c r="F8" s="287"/>
      <c r="G8" s="287"/>
      <c r="H8" s="287"/>
      <c r="I8" s="287"/>
      <c r="J8" s="287"/>
      <c r="K8" s="287"/>
      <c r="L8" s="287"/>
      <c r="M8" s="287"/>
      <c r="N8" s="287"/>
      <c r="O8" s="287"/>
      <c r="P8" s="288"/>
      <c r="Q8" s="23"/>
      <c r="R8" s="265" t="s">
        <v>13</v>
      </c>
      <c r="S8" s="266"/>
      <c r="T8" s="261"/>
      <c r="U8" s="261"/>
      <c r="V8" s="261"/>
      <c r="W8" s="261"/>
      <c r="X8" s="261"/>
      <c r="Y8" s="261"/>
      <c r="Z8" s="261"/>
      <c r="AA8" s="261"/>
      <c r="AB8" s="261"/>
      <c r="AC8" s="262"/>
      <c r="AD8" s="3"/>
      <c r="AE8" s="3"/>
    </row>
    <row r="9" spans="1:31" ht="15" customHeight="1" x14ac:dyDescent="0.15">
      <c r="A9" s="290" t="s">
        <v>11</v>
      </c>
      <c r="B9" s="291"/>
      <c r="C9" s="23"/>
      <c r="D9" s="23"/>
      <c r="E9" s="23"/>
      <c r="F9" s="23"/>
      <c r="G9" s="23"/>
      <c r="H9" s="23"/>
      <c r="I9" s="23"/>
      <c r="J9" s="23"/>
      <c r="K9" s="30"/>
      <c r="L9" s="23"/>
      <c r="M9" s="23"/>
      <c r="N9" s="23"/>
      <c r="O9" s="23"/>
      <c r="P9" s="24"/>
      <c r="Q9" s="23"/>
      <c r="R9" s="31" t="s">
        <v>11</v>
      </c>
      <c r="S9" s="23"/>
      <c r="T9" s="32"/>
      <c r="U9" s="32"/>
      <c r="V9" s="32"/>
      <c r="W9" s="32"/>
      <c r="X9" s="32"/>
      <c r="Y9" s="32"/>
      <c r="Z9" s="32"/>
      <c r="AA9" s="32"/>
      <c r="AB9" s="32"/>
      <c r="AC9" s="33"/>
      <c r="AD9" s="3"/>
      <c r="AE9" s="3"/>
    </row>
    <row r="10" spans="1:31" ht="13.5" customHeight="1" x14ac:dyDescent="0.15">
      <c r="A10" s="34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35"/>
      <c r="Q10" s="26"/>
      <c r="R10" s="34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5"/>
      <c r="AD10" s="2"/>
    </row>
    <row r="11" spans="1:31" ht="14.25" customHeight="1" x14ac:dyDescent="0.15">
      <c r="A11" s="34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35"/>
      <c r="Q11" s="26"/>
      <c r="R11" s="34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35"/>
      <c r="AD11" s="2"/>
    </row>
    <row r="12" spans="1:31" ht="13.5" customHeight="1" x14ac:dyDescent="0.15">
      <c r="A12" s="34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35"/>
      <c r="Q12" s="26"/>
      <c r="R12" s="34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35"/>
      <c r="AD12" s="2"/>
    </row>
    <row r="13" spans="1:31" ht="13.5" customHeight="1" x14ac:dyDescent="0.15">
      <c r="A13" s="34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35"/>
      <c r="Q13" s="26"/>
      <c r="R13" s="34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35"/>
      <c r="AD13" s="2"/>
    </row>
    <row r="14" spans="1:31" ht="13.5" customHeight="1" x14ac:dyDescent="0.15">
      <c r="A14" s="34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35"/>
      <c r="Q14" s="26"/>
      <c r="R14" s="34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35"/>
      <c r="AD14" s="2"/>
    </row>
    <row r="15" spans="1:31" ht="13.5" customHeight="1" x14ac:dyDescent="0.15">
      <c r="A15" s="34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35"/>
      <c r="Q15" s="26"/>
      <c r="R15" s="34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35"/>
      <c r="AD15" s="2"/>
    </row>
    <row r="16" spans="1:31" ht="13.5" customHeight="1" x14ac:dyDescent="0.15">
      <c r="A16" s="34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35"/>
      <c r="Q16" s="26"/>
      <c r="R16" s="34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35"/>
      <c r="AD16" s="2"/>
    </row>
    <row r="17" spans="1:30" ht="13.5" customHeight="1" x14ac:dyDescent="0.15">
      <c r="A17" s="34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35"/>
      <c r="Q17" s="26"/>
      <c r="R17" s="34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35"/>
      <c r="AD17" s="2"/>
    </row>
    <row r="18" spans="1:30" ht="13.5" customHeight="1" x14ac:dyDescent="0.15">
      <c r="A18" s="34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35"/>
      <c r="Q18" s="26"/>
      <c r="R18" s="34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35"/>
      <c r="AD18" s="2"/>
    </row>
    <row r="19" spans="1:30" ht="13.5" customHeight="1" x14ac:dyDescent="0.15">
      <c r="A19" s="34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35"/>
      <c r="Q19" s="26"/>
      <c r="R19" s="34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35"/>
      <c r="AD19" s="2"/>
    </row>
    <row r="20" spans="1:30" ht="13.5" customHeight="1" x14ac:dyDescent="0.15">
      <c r="A20" s="34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35"/>
      <c r="Q20" s="26"/>
      <c r="R20" s="34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35"/>
      <c r="AD20" s="2"/>
    </row>
    <row r="21" spans="1:30" ht="13.5" customHeight="1" x14ac:dyDescent="0.15">
      <c r="A21" s="34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35"/>
      <c r="Q21" s="15"/>
      <c r="R21" s="34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35"/>
    </row>
    <row r="22" spans="1:30" ht="13.5" customHeight="1" x14ac:dyDescent="0.15">
      <c r="A22" s="34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35"/>
      <c r="Q22" s="15"/>
      <c r="R22" s="34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35"/>
    </row>
    <row r="23" spans="1:30" ht="13.5" customHeight="1" x14ac:dyDescent="0.15">
      <c r="A23" s="34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35"/>
      <c r="Q23" s="15"/>
      <c r="R23" s="34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35"/>
    </row>
    <row r="24" spans="1:30" ht="14.25" customHeight="1" x14ac:dyDescent="0.15">
      <c r="A24" s="36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8"/>
      <c r="Q24" s="15"/>
      <c r="R24" s="36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8"/>
    </row>
    <row r="25" spans="1:30" ht="6" customHeight="1" x14ac:dyDescent="0.1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spans="1:30" ht="17.25" customHeight="1" x14ac:dyDescent="0.15">
      <c r="A26" s="289" t="s">
        <v>16</v>
      </c>
      <c r="B26" s="258"/>
      <c r="C26" s="264"/>
      <c r="D26" s="27"/>
      <c r="E26" s="263" t="s">
        <v>14</v>
      </c>
      <c r="F26" s="264"/>
      <c r="G26" s="258"/>
      <c r="H26" s="259"/>
      <c r="I26" s="258" t="s">
        <v>15</v>
      </c>
      <c r="J26" s="264"/>
      <c r="K26" s="258"/>
      <c r="L26" s="258"/>
      <c r="M26" s="258"/>
      <c r="N26" s="258"/>
      <c r="O26" s="258"/>
      <c r="P26" s="260"/>
      <c r="Q26" s="23"/>
      <c r="R26" s="28" t="s">
        <v>16</v>
      </c>
      <c r="S26" s="29"/>
      <c r="T26" s="263" t="s">
        <v>12</v>
      </c>
      <c r="U26" s="264"/>
      <c r="V26" s="257"/>
      <c r="W26" s="258"/>
      <c r="X26" s="259"/>
      <c r="Y26" s="27" t="s">
        <v>9</v>
      </c>
      <c r="Z26" s="257"/>
      <c r="AA26" s="258"/>
      <c r="AB26" s="258"/>
      <c r="AC26" s="260"/>
    </row>
    <row r="27" spans="1:30" ht="17.25" customHeight="1" x14ac:dyDescent="0.15">
      <c r="A27" s="292" t="s">
        <v>10</v>
      </c>
      <c r="B27" s="293"/>
      <c r="C27" s="293"/>
      <c r="D27" s="293"/>
      <c r="E27" s="287"/>
      <c r="F27" s="287"/>
      <c r="G27" s="287"/>
      <c r="H27" s="287"/>
      <c r="I27" s="287"/>
      <c r="J27" s="287"/>
      <c r="K27" s="287"/>
      <c r="L27" s="287"/>
      <c r="M27" s="287"/>
      <c r="N27" s="287"/>
      <c r="O27" s="287"/>
      <c r="P27" s="288"/>
      <c r="Q27" s="23"/>
      <c r="R27" s="265" t="s">
        <v>13</v>
      </c>
      <c r="S27" s="266"/>
      <c r="T27" s="261"/>
      <c r="U27" s="261"/>
      <c r="V27" s="261"/>
      <c r="W27" s="261"/>
      <c r="X27" s="261"/>
      <c r="Y27" s="261"/>
      <c r="Z27" s="261"/>
      <c r="AA27" s="261"/>
      <c r="AB27" s="261"/>
      <c r="AC27" s="262"/>
    </row>
    <row r="28" spans="1:30" ht="17.25" customHeight="1" x14ac:dyDescent="0.15">
      <c r="A28" s="290" t="s">
        <v>11</v>
      </c>
      <c r="B28" s="291"/>
      <c r="C28" s="23"/>
      <c r="D28" s="23"/>
      <c r="E28" s="23"/>
      <c r="F28" s="23"/>
      <c r="G28" s="23"/>
      <c r="H28" s="23"/>
      <c r="I28" s="23"/>
      <c r="J28" s="23"/>
      <c r="K28" s="30"/>
      <c r="L28" s="23"/>
      <c r="M28" s="23"/>
      <c r="N28" s="23"/>
      <c r="O28" s="23"/>
      <c r="P28" s="24"/>
      <c r="Q28" s="23"/>
      <c r="R28" s="31" t="s">
        <v>11</v>
      </c>
      <c r="S28" s="23"/>
      <c r="T28" s="32"/>
      <c r="U28" s="32"/>
      <c r="V28" s="32"/>
      <c r="W28" s="32"/>
      <c r="X28" s="32"/>
      <c r="Y28" s="32"/>
      <c r="Z28" s="32"/>
      <c r="AA28" s="32"/>
      <c r="AB28" s="32"/>
      <c r="AC28" s="33"/>
    </row>
    <row r="29" spans="1:30" ht="13.5" customHeight="1" x14ac:dyDescent="0.15">
      <c r="A29" s="34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35"/>
      <c r="Q29" s="26"/>
      <c r="R29" s="34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35"/>
    </row>
    <row r="30" spans="1:30" ht="13.5" customHeight="1" x14ac:dyDescent="0.15">
      <c r="A30" s="34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35"/>
      <c r="Q30" s="26"/>
      <c r="R30" s="34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35"/>
    </row>
    <row r="31" spans="1:30" ht="13.5" customHeight="1" x14ac:dyDescent="0.15">
      <c r="A31" s="34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35"/>
      <c r="Q31" s="26"/>
      <c r="R31" s="34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35"/>
    </row>
    <row r="32" spans="1:30" ht="13.5" customHeight="1" x14ac:dyDescent="0.15">
      <c r="A32" s="34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35"/>
      <c r="Q32" s="26"/>
      <c r="R32" s="34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35"/>
    </row>
    <row r="33" spans="1:29" ht="13.5" customHeight="1" x14ac:dyDescent="0.15">
      <c r="A33" s="34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35"/>
      <c r="Q33" s="26"/>
      <c r="R33" s="34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35"/>
    </row>
    <row r="34" spans="1:29" ht="13.5" customHeight="1" x14ac:dyDescent="0.15">
      <c r="A34" s="34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35"/>
      <c r="Q34" s="26"/>
      <c r="R34" s="34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35"/>
    </row>
    <row r="35" spans="1:29" ht="13.5" customHeight="1" x14ac:dyDescent="0.15">
      <c r="A35" s="34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35"/>
      <c r="Q35" s="26"/>
      <c r="R35" s="34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35"/>
    </row>
    <row r="36" spans="1:29" ht="13.5" customHeight="1" x14ac:dyDescent="0.15">
      <c r="A36" s="34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35"/>
      <c r="Q36" s="26"/>
      <c r="R36" s="34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35"/>
    </row>
    <row r="37" spans="1:29" ht="13.5" customHeight="1" x14ac:dyDescent="0.15">
      <c r="A37" s="34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35"/>
      <c r="Q37" s="26"/>
      <c r="R37" s="34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35"/>
    </row>
    <row r="38" spans="1:29" ht="13.5" customHeight="1" x14ac:dyDescent="0.15">
      <c r="A38" s="34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35"/>
      <c r="Q38" s="26"/>
      <c r="R38" s="34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35"/>
    </row>
    <row r="39" spans="1:29" ht="13.5" customHeight="1" x14ac:dyDescent="0.15">
      <c r="A39" s="34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35"/>
      <c r="Q39" s="15"/>
      <c r="R39" s="34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35"/>
    </row>
    <row r="40" spans="1:29" ht="13.5" customHeight="1" x14ac:dyDescent="0.15">
      <c r="A40" s="34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35"/>
      <c r="Q40" s="15"/>
      <c r="R40" s="34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35"/>
    </row>
    <row r="41" spans="1:29" ht="13.5" customHeight="1" x14ac:dyDescent="0.15">
      <c r="A41" s="34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35"/>
      <c r="Q41" s="15"/>
      <c r="R41" s="34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35"/>
    </row>
    <row r="42" spans="1:29" ht="13.5" customHeight="1" x14ac:dyDescent="0.15">
      <c r="A42" s="34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35"/>
      <c r="Q42" s="15"/>
      <c r="R42" s="34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35"/>
    </row>
    <row r="43" spans="1:29" ht="14.25" customHeight="1" x14ac:dyDescent="0.15">
      <c r="A43" s="36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8"/>
      <c r="Q43" s="15"/>
      <c r="R43" s="36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8"/>
    </row>
    <row r="44" spans="1:29" ht="6" customHeight="1" x14ac:dyDescent="0.1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spans="1:29" ht="17.25" customHeight="1" x14ac:dyDescent="0.15">
      <c r="A45" s="289" t="s">
        <v>16</v>
      </c>
      <c r="B45" s="258"/>
      <c r="C45" s="264"/>
      <c r="D45" s="27"/>
      <c r="E45" s="263" t="s">
        <v>14</v>
      </c>
      <c r="F45" s="264"/>
      <c r="G45" s="258"/>
      <c r="H45" s="259"/>
      <c r="I45" s="258" t="s">
        <v>15</v>
      </c>
      <c r="J45" s="264"/>
      <c r="K45" s="258"/>
      <c r="L45" s="258"/>
      <c r="M45" s="258"/>
      <c r="N45" s="258"/>
      <c r="O45" s="258"/>
      <c r="P45" s="260"/>
      <c r="Q45" s="23"/>
      <c r="R45" s="28" t="s">
        <v>16</v>
      </c>
      <c r="S45" s="29"/>
      <c r="T45" s="263" t="s">
        <v>12</v>
      </c>
      <c r="U45" s="264"/>
      <c r="V45" s="257"/>
      <c r="W45" s="258"/>
      <c r="X45" s="259"/>
      <c r="Y45" s="27" t="s">
        <v>9</v>
      </c>
      <c r="Z45" s="257"/>
      <c r="AA45" s="258"/>
      <c r="AB45" s="258"/>
      <c r="AC45" s="260"/>
    </row>
    <row r="46" spans="1:29" ht="17.25" customHeight="1" x14ac:dyDescent="0.15">
      <c r="A46" s="292" t="s">
        <v>10</v>
      </c>
      <c r="B46" s="293"/>
      <c r="C46" s="293"/>
      <c r="D46" s="293"/>
      <c r="E46" s="287"/>
      <c r="F46" s="287"/>
      <c r="G46" s="287"/>
      <c r="H46" s="287"/>
      <c r="I46" s="287"/>
      <c r="J46" s="287"/>
      <c r="K46" s="287"/>
      <c r="L46" s="287"/>
      <c r="M46" s="287"/>
      <c r="N46" s="287"/>
      <c r="O46" s="287"/>
      <c r="P46" s="288"/>
      <c r="Q46" s="23"/>
      <c r="R46" s="265" t="s">
        <v>13</v>
      </c>
      <c r="S46" s="266"/>
      <c r="T46" s="261"/>
      <c r="U46" s="261"/>
      <c r="V46" s="261"/>
      <c r="W46" s="261"/>
      <c r="X46" s="261"/>
      <c r="Y46" s="261"/>
      <c r="Z46" s="261"/>
      <c r="AA46" s="261"/>
      <c r="AB46" s="261"/>
      <c r="AC46" s="262"/>
    </row>
    <row r="47" spans="1:29" ht="17.25" customHeight="1" x14ac:dyDescent="0.15">
      <c r="A47" s="290" t="s">
        <v>11</v>
      </c>
      <c r="B47" s="291"/>
      <c r="C47" s="23"/>
      <c r="D47" s="23"/>
      <c r="E47" s="23"/>
      <c r="F47" s="23"/>
      <c r="G47" s="23"/>
      <c r="H47" s="23"/>
      <c r="I47" s="23"/>
      <c r="J47" s="23"/>
      <c r="K47" s="30"/>
      <c r="L47" s="23"/>
      <c r="M47" s="23"/>
      <c r="N47" s="23"/>
      <c r="O47" s="23"/>
      <c r="P47" s="24"/>
      <c r="Q47" s="23"/>
      <c r="R47" s="31" t="s">
        <v>11</v>
      </c>
      <c r="S47" s="23"/>
      <c r="T47" s="32"/>
      <c r="U47" s="32"/>
      <c r="V47" s="32"/>
      <c r="W47" s="32"/>
      <c r="X47" s="32"/>
      <c r="Y47" s="32"/>
      <c r="Z47" s="32"/>
      <c r="AA47" s="32"/>
      <c r="AB47" s="32"/>
      <c r="AC47" s="33"/>
    </row>
    <row r="48" spans="1:29" ht="13.5" customHeight="1" x14ac:dyDescent="0.15">
      <c r="A48" s="34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35"/>
      <c r="Q48" s="26"/>
      <c r="R48" s="34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35"/>
    </row>
    <row r="49" spans="1:29" ht="13.5" customHeight="1" x14ac:dyDescent="0.15">
      <c r="A49" s="34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35"/>
      <c r="Q49" s="26"/>
      <c r="R49" s="34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35"/>
    </row>
    <row r="50" spans="1:29" ht="13.5" customHeight="1" x14ac:dyDescent="0.15">
      <c r="A50" s="34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35"/>
      <c r="Q50" s="26"/>
      <c r="R50" s="34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35"/>
    </row>
    <row r="51" spans="1:29" ht="13.5" customHeight="1" x14ac:dyDescent="0.15">
      <c r="A51" s="34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35"/>
      <c r="Q51" s="26"/>
      <c r="R51" s="34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35"/>
    </row>
    <row r="52" spans="1:29" ht="13.5" customHeight="1" x14ac:dyDescent="0.15">
      <c r="A52" s="34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35"/>
      <c r="Q52" s="26"/>
      <c r="R52" s="34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35"/>
    </row>
    <row r="53" spans="1:29" ht="13.5" customHeight="1" x14ac:dyDescent="0.15">
      <c r="A53" s="34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35"/>
      <c r="Q53" s="26"/>
      <c r="R53" s="34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35"/>
    </row>
    <row r="54" spans="1:29" ht="13.5" customHeight="1" x14ac:dyDescent="0.15">
      <c r="A54" s="34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35"/>
      <c r="Q54" s="26"/>
      <c r="R54" s="34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35"/>
    </row>
    <row r="55" spans="1:29" ht="13.5" customHeight="1" x14ac:dyDescent="0.15">
      <c r="A55" s="34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35"/>
      <c r="Q55" s="26"/>
      <c r="R55" s="34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35"/>
    </row>
    <row r="56" spans="1:29" ht="13.5" customHeight="1" x14ac:dyDescent="0.15">
      <c r="A56" s="34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35"/>
      <c r="Q56" s="26"/>
      <c r="R56" s="34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35"/>
    </row>
    <row r="57" spans="1:29" ht="13.5" customHeight="1" x14ac:dyDescent="0.15">
      <c r="A57" s="34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35"/>
      <c r="Q57" s="26"/>
      <c r="R57" s="34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35"/>
    </row>
    <row r="58" spans="1:29" ht="13.5" customHeight="1" x14ac:dyDescent="0.15">
      <c r="A58" s="34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35"/>
      <c r="Q58" s="15"/>
      <c r="R58" s="34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35"/>
    </row>
    <row r="59" spans="1:29" ht="13.5" customHeight="1" x14ac:dyDescent="0.15">
      <c r="A59" s="34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35"/>
      <c r="Q59" s="15"/>
      <c r="R59" s="34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35"/>
    </row>
    <row r="60" spans="1:29" ht="13.5" customHeight="1" x14ac:dyDescent="0.15">
      <c r="A60" s="34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35"/>
      <c r="Q60" s="15"/>
      <c r="R60" s="34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35"/>
    </row>
    <row r="61" spans="1:29" ht="13.5" customHeight="1" x14ac:dyDescent="0.15">
      <c r="A61" s="34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35"/>
      <c r="Q61" s="15"/>
      <c r="R61" s="34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35"/>
    </row>
    <row r="62" spans="1:29" ht="14.25" customHeight="1" x14ac:dyDescent="0.15">
      <c r="A62" s="36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8"/>
      <c r="Q62" s="15"/>
      <c r="R62" s="36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8"/>
    </row>
    <row r="63" spans="1:29" x14ac:dyDescent="0.15">
      <c r="AB63" s="12" t="s">
        <v>62</v>
      </c>
    </row>
  </sheetData>
  <mergeCells count="54">
    <mergeCell ref="T46:AC46"/>
    <mergeCell ref="A47:B47"/>
    <mergeCell ref="A46:D46"/>
    <mergeCell ref="E46:P46"/>
    <mergeCell ref="R46:S46"/>
    <mergeCell ref="G26:H26"/>
    <mergeCell ref="I26:J26"/>
    <mergeCell ref="E45:F45"/>
    <mergeCell ref="G45:H45"/>
    <mergeCell ref="I45:J45"/>
    <mergeCell ref="A27:D27"/>
    <mergeCell ref="E27:P27"/>
    <mergeCell ref="A28:B28"/>
    <mergeCell ref="A45:C45"/>
    <mergeCell ref="K45:P45"/>
    <mergeCell ref="A26:C26"/>
    <mergeCell ref="E26:F26"/>
    <mergeCell ref="A9:B9"/>
    <mergeCell ref="A7:C7"/>
    <mergeCell ref="E7:F7"/>
    <mergeCell ref="A8:D8"/>
    <mergeCell ref="I7:J7"/>
    <mergeCell ref="G7:H7"/>
    <mergeCell ref="T8:AC8"/>
    <mergeCell ref="E8:P8"/>
    <mergeCell ref="R8:S8"/>
    <mergeCell ref="K7:P7"/>
    <mergeCell ref="AA5:AC5"/>
    <mergeCell ref="X5:Z5"/>
    <mergeCell ref="Z7:AC7"/>
    <mergeCell ref="V7:X7"/>
    <mergeCell ref="Y2:Z2"/>
    <mergeCell ref="X4:Z4"/>
    <mergeCell ref="S5:W5"/>
    <mergeCell ref="T7:U7"/>
    <mergeCell ref="A2:D2"/>
    <mergeCell ref="E2:W2"/>
    <mergeCell ref="A5:F5"/>
    <mergeCell ref="A4:F4"/>
    <mergeCell ref="G4:L4"/>
    <mergeCell ref="I3:M3"/>
    <mergeCell ref="M4:R4"/>
    <mergeCell ref="S4:W4"/>
    <mergeCell ref="M5:R5"/>
    <mergeCell ref="G5:L5"/>
    <mergeCell ref="V45:X45"/>
    <mergeCell ref="Z45:AC45"/>
    <mergeCell ref="T27:AC27"/>
    <mergeCell ref="K26:P26"/>
    <mergeCell ref="T26:U26"/>
    <mergeCell ref="V26:X26"/>
    <mergeCell ref="Z26:AC26"/>
    <mergeCell ref="R27:S27"/>
    <mergeCell ref="T45:U45"/>
  </mergeCells>
  <phoneticPr fontId="4"/>
  <pageMargins left="0.19685039370078741" right="0.19685039370078741" top="0.19685039370078741" bottom="0.19685039370078741" header="0.51181102362204722" footer="0.51181102362204722"/>
  <pageSetup paperSize="9" orientation="portrait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AABD-4C78-4DB0-82B4-2DC6E31E2B96}">
  <sheetPr>
    <tabColor rgb="FFFFFF00"/>
  </sheetPr>
  <dimension ref="A2:AE44"/>
  <sheetViews>
    <sheetView zoomScaleNormal="100" workbookViewId="0">
      <selection activeCell="S34" sqref="S34"/>
    </sheetView>
  </sheetViews>
  <sheetFormatPr defaultColWidth="9" defaultRowHeight="10.5" x14ac:dyDescent="0.15"/>
  <cols>
    <col min="1" max="1" width="3.625" style="63" customWidth="1"/>
    <col min="2" max="4" width="9" style="63"/>
    <col min="5" max="5" width="3.625" style="63" customWidth="1"/>
    <col min="6" max="8" width="9" style="63"/>
    <col min="9" max="9" width="3.625" style="63" customWidth="1"/>
    <col min="10" max="12" width="9" style="63"/>
    <col min="13" max="13" width="3.625" style="63" customWidth="1"/>
    <col min="14" max="16" width="9" style="63"/>
    <col min="17" max="17" width="3.625" style="63" customWidth="1"/>
    <col min="18" max="20" width="9" style="63"/>
    <col min="21" max="21" width="3.625" style="63" customWidth="1"/>
    <col min="22" max="24" width="9" style="63"/>
    <col min="25" max="25" width="3.625" style="63" customWidth="1"/>
    <col min="26" max="28" width="9" style="63"/>
    <col min="29" max="29" width="3.625" style="63" customWidth="1"/>
    <col min="30" max="16384" width="9" style="63"/>
  </cols>
  <sheetData>
    <row r="2" spans="1:31" x14ac:dyDescent="0.15">
      <c r="B2" s="294" t="s">
        <v>104</v>
      </c>
      <c r="C2" s="294"/>
      <c r="F2" s="294" t="s">
        <v>82</v>
      </c>
      <c r="G2" s="294"/>
      <c r="J2" s="294" t="s">
        <v>105</v>
      </c>
      <c r="K2" s="294"/>
      <c r="N2" s="294" t="s">
        <v>106</v>
      </c>
      <c r="O2" s="294"/>
      <c r="R2" s="294" t="s">
        <v>107</v>
      </c>
      <c r="S2" s="294"/>
      <c r="V2" s="294" t="s">
        <v>108</v>
      </c>
      <c r="W2" s="294"/>
      <c r="Z2" s="294" t="s">
        <v>80</v>
      </c>
      <c r="AA2" s="294"/>
      <c r="AD2" s="294" t="s">
        <v>81</v>
      </c>
      <c r="AE2" s="294"/>
    </row>
    <row r="3" spans="1:31" x14ac:dyDescent="0.15">
      <c r="A3" s="64">
        <v>1</v>
      </c>
      <c r="B3" s="64" t="str">
        <f>VLOOKUP(A3,'[1]リンクデータ新(ロック解除PASS　1111) '!$B:$C,2,FALSE)</f>
        <v>CCET0602005MFR-U PR1725(京セラ)</v>
      </c>
      <c r="E3" s="64">
        <v>101</v>
      </c>
      <c r="F3" s="64" t="str">
        <f>VLOOKUP(E3,'[1]リンクデータ新(ロック解除PASS　1111) '!$B:$C,2,FALSE)</f>
        <v>ABS15R4005 PR930(京セラ)</v>
      </c>
      <c r="I3" s="64">
        <v>201</v>
      </c>
      <c r="J3" s="64" t="str">
        <f>VLOOKUP(I3,'[1]リンクデータ新(ロック解除PASS　1111) '!$B:$C,2,FALSE)</f>
        <v>TTP60FR2A ZM3(NTK)</v>
      </c>
      <c r="M3" s="64">
        <v>301</v>
      </c>
      <c r="N3" s="63" t="str">
        <f>VLOOKUP(M3,'[1]リンクデータ新(ロック解除PASS　1111) '!$B:$C,2,FALSE)</f>
        <v>GTMH32033RVT VM1(NTK)</v>
      </c>
      <c r="O3" s="64"/>
      <c r="Q3" s="64">
        <v>401</v>
      </c>
      <c r="R3" s="64" t="str">
        <f>VLOOKUP(Q3,'[1]リンクデータ新(ロック解除PASS　1111) '!$B:$C,2,FALSE)</f>
        <v>CTP10FRV VM1(NTK)</v>
      </c>
      <c r="U3" s="65">
        <v>501</v>
      </c>
      <c r="V3" s="65" t="str">
        <f>VLOOKUP(U3,'[1]リンクデータ新(ロック解除PASS　1111) '!$B:$C,2,FALSE)</f>
        <v>TA-180306-L1(CJV)</v>
      </c>
      <c r="W3" s="66"/>
      <c r="Y3" s="64">
        <v>601</v>
      </c>
      <c r="Z3" s="64" t="str">
        <f>VLOOKUP(Y3,'[1]リンクデータ新(ロック解除PASS　1111) '!$B:$C,2,FALSE)</f>
        <v>CZH04005CFR-070 ZM3(NTK)</v>
      </c>
      <c r="AC3" s="63">
        <v>701</v>
      </c>
      <c r="AD3" s="63" t="str">
        <f>VLOOKUP(AC3,'[1]リンクデータ新(ロック解除PASS　1111) '!$B:$C,2,FALSE)</f>
        <v>AGSTD3.0-90(NACHI)</v>
      </c>
    </row>
    <row r="4" spans="1:31" x14ac:dyDescent="0.15">
      <c r="A4" s="64">
        <v>2</v>
      </c>
      <c r="B4" s="64" t="str">
        <f>VLOOKUP(A4,'[1]リンクデータ新(ロック解除PASS　1111) '!$B:$C,2,FALSE)</f>
        <v>DCET11T3005MFR-U PR1725(京セラ)</v>
      </c>
      <c r="E4" s="64">
        <v>102</v>
      </c>
      <c r="F4" s="64" t="str">
        <f>VLOOKUP(E4,'[1]リンクデータ新(ロック解除PASS　1111) '!$B:$C,2,FALSE)</f>
        <v>ABS15R4005 KW10(京セラ)</v>
      </c>
      <c r="I4" s="64">
        <v>202</v>
      </c>
      <c r="J4" s="64" t="str">
        <f>VLOOKUP(I4,'[1]リンクデータ新(ロック解除PASS　1111) '!$B:$C,2,FALSE)</f>
        <v>TTP60FR2B ZM3(NTK)</v>
      </c>
      <c r="M4" s="64">
        <v>302</v>
      </c>
      <c r="N4" s="63" t="str">
        <f>VLOOKUP(M4,'[1]リンクデータ新(ロック解除PASS　1111) '!$B:$C,2,FALSE)</f>
        <v>GTMH32043RVT VM1(NTK)</v>
      </c>
      <c r="O4" s="64"/>
      <c r="Q4" s="64">
        <v>402</v>
      </c>
      <c r="R4" s="64" t="str">
        <f>VLOOKUP(Q4,'[1]リンクデータ新(ロック解除PASS　1111) '!$B:$C,2,FALSE)</f>
        <v>CTP10FLK ZM3(NTK)</v>
      </c>
      <c r="U4" s="65">
        <v>502</v>
      </c>
      <c r="V4" s="65" t="str">
        <f>VLOOKUP(U4,'[1]リンクデータ新(ロック解除PASS　1111) '!$B:$C,2,FALSE)</f>
        <v>TA-180306-L2(CJV)</v>
      </c>
      <c r="W4" s="64"/>
      <c r="Y4" s="67">
        <v>602</v>
      </c>
      <c r="Z4" s="64" t="str">
        <f>VLOOKUP(Y4,'[1]リンクデータ新(ロック解除PASS　1111) '!$B:$C,2,FALSE)</f>
        <v>CZH04005CFR-BL DM4(NTK)</v>
      </c>
      <c r="AC4" s="63">
        <v>702</v>
      </c>
      <c r="AD4" s="63" t="str">
        <f>VLOOKUP(AC4,'[1]リンクデータ新(ロック解除PASS　1111) '!$B:$C,2,FALSE)</f>
        <v>AGSTD4.0-90(NACHI)</v>
      </c>
    </row>
    <row r="5" spans="1:31" x14ac:dyDescent="0.15">
      <c r="A5" s="64">
        <v>3</v>
      </c>
      <c r="B5" s="64" t="str">
        <f>VLOOKUP(A5,'[1]リンクデータ新(ロック解除PASS　1111) '!$B:$C,2,FALSE)</f>
        <v>DCET11T301MFR-U PR1725(京セラ)</v>
      </c>
      <c r="E5" s="64">
        <v>103</v>
      </c>
      <c r="F5" s="64" t="str">
        <f>VLOOKUP(E5,'[1]リンクデータ新(ロック解除PASS　1111) '!$B:$C,2,FALSE)</f>
        <v>TKFB12R28005-GQ PR1425(京セラ)</v>
      </c>
      <c r="I5" s="64">
        <v>203</v>
      </c>
      <c r="J5" s="64" t="str">
        <f>VLOOKUP(I5,'[1]リンクデータ新(ロック解除PASS　1111) '!$B:$C,2,FALSE)</f>
        <v>TTP60FR4A ZM3(NTK)</v>
      </c>
      <c r="M5" s="64">
        <v>303</v>
      </c>
      <c r="N5" s="63" t="str">
        <f>VLOOKUP(M5,'[1]リンクデータ新(ロック解除PASS　1111) '!$B:$C,2,FALSE)</f>
        <v>GTMH32053RVT VM1(NTK)</v>
      </c>
      <c r="O5" s="64"/>
      <c r="Q5" s="64">
        <v>403</v>
      </c>
      <c r="R5" s="64" t="str">
        <f>VLOOKUP(Q5,'[1]リンクデータ新(ロック解除PASS　1111) '!$B:$C,2,FALSE)</f>
        <v>CTP15FRV VM1(NTK)</v>
      </c>
      <c r="U5" s="65">
        <v>503</v>
      </c>
      <c r="V5" s="65" t="str">
        <f>VLOOKUP(U5,'[1]リンクデータ新(ロック解除PASS　1111) '!$B:$C,2,FALSE)</f>
        <v>TA-180306-L3(CJV)</v>
      </c>
      <c r="W5" s="64"/>
      <c r="Y5" s="64">
        <v>603</v>
      </c>
      <c r="Z5" s="64" t="str">
        <f>VLOOKUP(Y5,'[1]リンクデータ新(ロック解除PASS　1111) '!$B:$C,2,FALSE)</f>
        <v>RWEM030H4R00S04 AC3(NTK)</v>
      </c>
      <c r="AC5" s="63">
        <v>703</v>
      </c>
      <c r="AD5" s="63" t="str">
        <f>VLOOKUP(AC5,'[1]リンクデータ新(ロック解除PASS　1111) '!$B:$C,2,FALSE)</f>
        <v>AGSTD5.0-90(NACHI)</v>
      </c>
    </row>
    <row r="6" spans="1:31" x14ac:dyDescent="0.15">
      <c r="A6" s="64">
        <v>4</v>
      </c>
      <c r="B6" s="64" t="str">
        <f>VLOOKUP(A6,'[1]リンクデータ新(ロック解除PASS　1111) '!$B:$C,2,FALSE)</f>
        <v>DCET11T302MFR-U PR1725(京セラ)</v>
      </c>
      <c r="E6" s="64">
        <v>104</v>
      </c>
      <c r="F6" s="64" t="str">
        <f>VLOOKUP(E6,'[1]リンクデータ新(ロック解除PASS　1111) '!$B:$C,2,FALSE)</f>
        <v>TKFB12R15005M PR1725(京セラ)</v>
      </c>
      <c r="I6" s="64">
        <v>204</v>
      </c>
      <c r="J6" s="64" t="str">
        <f>VLOOKUP(I6,'[1]リンクデータ新(ロック解除PASS　1111) '!$B:$C,2,FALSE)</f>
        <v>TTP60FR4B ZM3(NTK)</v>
      </c>
      <c r="M6" s="64">
        <v>304</v>
      </c>
      <c r="N6" s="63" t="str">
        <f>VLOOKUP(M6,'[1]リンクデータ新(ロック解除PASS　1111) '!$B:$C,2,FALSE)</f>
        <v>GTMH32075RVT VM1(NTK)</v>
      </c>
      <c r="O6" s="64"/>
      <c r="Q6" s="64">
        <v>404</v>
      </c>
      <c r="R6" s="64" t="str">
        <f>VLOOKUP(Q6,'[1]リンクデータ新(ロック解除PASS　1111) '!$B:$C,2,FALSE)</f>
        <v>CTP15FLK VM1(NTK)</v>
      </c>
      <c r="U6" s="65">
        <v>504</v>
      </c>
      <c r="V6" s="65" t="str">
        <f>VLOOKUP(U6,'[1]リンクデータ新(ロック解除PASS　1111) '!$B:$C,2,FALSE)</f>
        <v>TA-180306-L4(CJV)</v>
      </c>
      <c r="W6" s="64"/>
      <c r="Y6" s="67">
        <v>604</v>
      </c>
      <c r="Z6" s="64" t="str">
        <f>VLOOKUP(Y6,'[1]リンクデータ新(ロック解除PASS　1111) '!$B:$C,2,FALSE)</f>
        <v>RWEM040H4R00S04 AC3(NTK)</v>
      </c>
      <c r="AC6" s="63">
        <v>704</v>
      </c>
      <c r="AD6" s="63" t="str">
        <f>VLOOKUP(AC6,'[1]リンクデータ新(ロック解除PASS　1111) '!$B:$C,2,FALSE)</f>
        <v>AGSTD6.0-90(NACHI)</v>
      </c>
    </row>
    <row r="7" spans="1:31" x14ac:dyDescent="0.15">
      <c r="A7" s="64">
        <v>5</v>
      </c>
      <c r="B7" s="64" t="str">
        <f>VLOOKUP(A7,'[1]リンクデータ新(ロック解除PASS　1111) '!$B:$C,2,FALSE)</f>
        <v>DCGT11T301MP-CF PR1725(京セラ)</v>
      </c>
      <c r="E7" s="64">
        <v>105</v>
      </c>
      <c r="F7" s="64" t="str">
        <f>VLOOKUP(E7,'[1]リンクデータ新(ロック解除PASS　1111) '!$B:$C,2,FALSE)</f>
        <v>TBP72FR05-BM TM4(NTK)</v>
      </c>
      <c r="I7" s="64">
        <v>205</v>
      </c>
      <c r="J7" s="64" t="str">
        <f>VLOOKUP(I7,'[1]リンクデータ新(ロック解除PASS　1111) '!$B:$C,2,FALSE)</f>
        <v>TTP60FR8A ZM3(NTK)</v>
      </c>
      <c r="M7" s="64">
        <v>305</v>
      </c>
      <c r="N7" s="63" t="str">
        <f>VLOOKUP(M7,'[1]リンクデータ新(ロック解除PASS　1111) '!$B:$C,2,FALSE)</f>
        <v>GTMH32100RVT VM1(NTK)</v>
      </c>
      <c r="O7" s="64"/>
      <c r="Q7" s="64">
        <v>405</v>
      </c>
      <c r="R7" s="64" t="str">
        <f>VLOOKUP(Q7,'[1]リンクデータ新(ロック解除PASS　1111) '!$B:$C,2,FALSE)</f>
        <v>CTP15FLKV VM1(NTK)</v>
      </c>
      <c r="U7" s="65">
        <v>505</v>
      </c>
      <c r="V7" s="65" t="str">
        <f>VLOOKUP(U7,'[1]リンクデータ新(ロック解除PASS　1111) '!$B:$C,2,FALSE)</f>
        <v>TA-180306-L5(CJV)</v>
      </c>
      <c r="W7" s="64"/>
      <c r="Y7" s="64">
        <v>605</v>
      </c>
      <c r="Z7" s="64" t="str">
        <f>VLOOKUP(Y7,'[1]リンクデータ新(ロック解除PASS　1111) '!$B:$C,2,FALSE)</f>
        <v>RWEM050H4R00S06 AC3(NTK)</v>
      </c>
      <c r="AC7" s="63">
        <v>705</v>
      </c>
      <c r="AD7" s="63" t="str">
        <f>VLOOKUP(AC7,'[1]リンクデータ新(ロック解除PASS　1111) '!$B:$C,2,FALSE)</f>
        <v>AGSTD8.0-90(NACHI)</v>
      </c>
    </row>
    <row r="8" spans="1:31" x14ac:dyDescent="0.15">
      <c r="A8" s="64">
        <v>6</v>
      </c>
      <c r="B8" s="64" t="str">
        <f>VLOOKUP(A8,'[1]リンクデータ新(ロック解除PASS　1111) '!$B:$C,2,FALSE)</f>
        <v>DCGT11T302MP-CF PR1725(京セラ)</v>
      </c>
      <c r="E8" s="64">
        <v>106</v>
      </c>
      <c r="F8" s="64" t="str">
        <f>VLOOKUP(E8,'[1]リンクデータ新(ロック解除PASS　1111) '!$B:$C,2,FALSE)</f>
        <v>CSVB11FRV-C VM1(NTK)</v>
      </c>
      <c r="I8" s="64">
        <v>206</v>
      </c>
      <c r="J8" s="64" t="str">
        <f>VLOOKUP(I8,'[1]リンクデータ新(ロック解除PASS　1111) '!$B:$C,2,FALSE)</f>
        <v>TTP60FR8B ZM3(NTK)</v>
      </c>
      <c r="M8" s="64">
        <v>306</v>
      </c>
      <c r="N8" s="63" t="str">
        <f>VLOOKUP(M8,'[1]リンクデータ新(ロック解除PASS　1111) '!$B:$C,2,FALSE)</f>
        <v>GTMH32150RVT VM1(NTK)</v>
      </c>
      <c r="O8" s="64"/>
      <c r="Q8" s="64">
        <v>406</v>
      </c>
      <c r="R8" s="64" t="str">
        <f>VLOOKUP(Q8,'[1]リンクデータ新(ロック解除PASS　1111) '!$B:$C,2,FALSE)</f>
        <v>CTP20FRV VM1(NTK)</v>
      </c>
      <c r="U8" s="65">
        <v>506</v>
      </c>
      <c r="V8" s="65" t="str">
        <f>VLOOKUP(U8,'[1]リンクデータ新(ロック解除PASS　1111) '!$B:$C,2,FALSE)</f>
        <v>CCET0301005ML-F PR1725(京セラ)</v>
      </c>
      <c r="W8" s="64"/>
      <c r="Y8" s="67">
        <v>606</v>
      </c>
      <c r="Z8" s="64" t="str">
        <f>VLOOKUP(Y8,'[1]リンクデータ新(ロック解除PASS　1111) '!$B:$C,2,FALSE)</f>
        <v>RWEM060H4R00S06 AC3(NTK)</v>
      </c>
      <c r="AC8" s="63">
        <v>706</v>
      </c>
      <c r="AD8" s="63" t="str">
        <f>VLOOKUP(AC8,'[1]リンクデータ新(ロック解除PASS　1111) '!$B:$C,2,FALSE)</f>
        <v>AGSTD10.0-90(NACHI)</v>
      </c>
    </row>
    <row r="9" spans="1:31" x14ac:dyDescent="0.15">
      <c r="A9" s="64">
        <v>7</v>
      </c>
      <c r="B9" s="64" t="str">
        <f>VLOOKUP(A9,'[1]リンクデータ新(ロック解除PASS　1111) '!$B:$C,2,FALSE)</f>
        <v>DCGT11T301MP-CK PR1725(京セラ)</v>
      </c>
      <c r="E9" s="64">
        <v>107</v>
      </c>
      <c r="F9" s="64" t="str">
        <f>VLOOKUP(E9,'[1]リンクデータ新(ロック解除PASS　1111) '!$B:$C,2,FALSE)</f>
        <v>CSVB11FRV12 VM1(NTK)</v>
      </c>
      <c r="I9" s="64">
        <v>207</v>
      </c>
      <c r="J9" s="64" t="str">
        <f>VLOOKUP(I9,'[1]リンクデータ新(ロック解除PASS　1111) '!$B:$C,2,FALSE)</f>
        <v>TTP60FR-N ZM3(NTK)</v>
      </c>
      <c r="M9" s="64">
        <v>307</v>
      </c>
      <c r="N9" s="63" t="str">
        <f>VLOOKUP(M9,'[1]リンクデータ新(ロック解除PASS　1111) '!$B:$C,2,FALSE)</f>
        <v>GTMH32200RVT VM1(NTK)</v>
      </c>
      <c r="O9" s="64"/>
      <c r="Q9" s="64">
        <v>407</v>
      </c>
      <c r="R9" s="64" t="str">
        <f>VLOOKUP(Q9,'[1]リンクデータ新(ロック解除PASS　1111) '!$B:$C,2,FALSE)</f>
        <v>CTP20FLK VM1(NTK)</v>
      </c>
      <c r="U9" s="65">
        <v>507</v>
      </c>
      <c r="V9" s="65" t="str">
        <f>VLOOKUP(U9,'[1]リンクデータ新(ロック解除PASS　1111) '!$B:$C,2,FALSE)</f>
        <v>CCGT030101MP-CF PR1725(京セラ)</v>
      </c>
      <c r="W9" s="64"/>
      <c r="Y9" s="64">
        <v>607</v>
      </c>
      <c r="Z9" s="64" t="str">
        <f>VLOOKUP(Y9,'[1]リンクデータ新(ロック解除PASS　1111) '!$B:$C,2,FALSE)</f>
        <v>RWEM080H4R00S08 AC3(NTK)</v>
      </c>
      <c r="AC9" s="63">
        <v>707</v>
      </c>
      <c r="AD9" s="63" t="str">
        <f>VLOOKUP(AC9,'[1]リンクデータ新(ロック解除PASS　1111) '!$B:$C,2,FALSE)</f>
        <v>()</v>
      </c>
    </row>
    <row r="10" spans="1:31" x14ac:dyDescent="0.15">
      <c r="A10" s="64">
        <v>8</v>
      </c>
      <c r="B10" s="64" t="str">
        <f>VLOOKUP(A10,'[1]リンクデータ新(ロック解除PASS　1111) '!$B:$C,2,FALSE)</f>
        <v>DCGT11T302MP-CK PR1725(京セラ)</v>
      </c>
      <c r="E10" s="64">
        <v>108</v>
      </c>
      <c r="F10" s="64" t="str">
        <f>VLOOKUP(E10,'[1]リンクデータ新(ロック解除PASS　1111) '!$B:$C,2,FALSE)</f>
        <v>CSVB11FRV14 VM1(NTK)</v>
      </c>
      <c r="I10" s="64">
        <v>208</v>
      </c>
      <c r="J10" s="64" t="str">
        <f>VLOOKUP(I10,'[1]リンクデータ新(ロック解除PASS　1111) '!$B:$C,2,FALSE)</f>
        <v>TTP55FR8A ZM3(NTK)</v>
      </c>
      <c r="M10" s="64">
        <v>308</v>
      </c>
      <c r="N10" s="63" t="str">
        <f>VLOOKUP(M10,'[1]リンクデータ新(ロック解除PASS　1111) '!$B:$C,2,FALSE)</f>
        <v>GTMH32033RGX TM4(NTK)</v>
      </c>
      <c r="O10" s="64"/>
      <c r="Q10" s="64">
        <v>408</v>
      </c>
      <c r="R10" s="64" t="str">
        <f>VLOOKUP(Q10,'[1]リンクデータ新(ロック解除PASS　1111) '!$B:$C,2,FALSE)</f>
        <v>CTP15FR-CX DM4(NTK)</v>
      </c>
      <c r="U10" s="65">
        <v>508</v>
      </c>
      <c r="V10" s="65" t="str">
        <f>VLOOKUP(U10,'[1]リンクデータ新(ロック解除PASS　1111) '!$B:$C,2,FALSE)</f>
        <v>CCET040101ML-F PR1725(京セラ)</v>
      </c>
      <c r="W10" s="64"/>
      <c r="Y10" s="67">
        <v>608</v>
      </c>
      <c r="Z10" s="64" t="str">
        <f>VLOOKUP(Y10,'[1]リンクデータ新(ロック解除PASS　1111) '!$B:$C,2,FALSE)</f>
        <v>RWEM100H4R00S10 AC3(NTK)</v>
      </c>
      <c r="AC10" s="63">
        <v>708</v>
      </c>
      <c r="AD10" s="63" t="str">
        <f>VLOOKUP(AC10,'[1]リンクデータ新(ロック解除PASS　1111) '!$B:$C,2,FALSE)</f>
        <v>()</v>
      </c>
    </row>
    <row r="11" spans="1:31" x14ac:dyDescent="0.15">
      <c r="A11" s="64">
        <v>9</v>
      </c>
      <c r="B11" s="64" t="str">
        <f>VLOOKUP(A11,'[1]リンクデータ新(ロック解除PASS　1111) '!$B:$C,2,FALSE)</f>
        <v>VPGT110301MP-CK PR1725(京セラ)</v>
      </c>
      <c r="E11" s="64">
        <v>109</v>
      </c>
      <c r="F11" s="64" t="str">
        <f>VLOOKUP(E11,'[1]リンクデータ新(ロック解除PASS　1111) '!$B:$C,2,FALSE)</f>
        <v>CSVB11FRVB14 VM1(NTK)</v>
      </c>
      <c r="I11" s="64">
        <v>209</v>
      </c>
      <c r="J11" s="64" t="str">
        <f>VLOOKUP(I11,'[1]リンクデータ新(ロック解除PASS　1111) '!$B:$C,2,FALSE)</f>
        <v>TTP55FR8B ZM3(NTK)</v>
      </c>
      <c r="M11" s="64">
        <v>309</v>
      </c>
      <c r="N11" s="63" t="str">
        <f>VLOOKUP(M11,'[1]リンクデータ新(ロック解除PASS　1111) '!$B:$C,2,FALSE)</f>
        <v>GTMH32043RGX TM4(NTK)</v>
      </c>
      <c r="O11" s="64"/>
      <c r="Q11" s="64">
        <v>409</v>
      </c>
      <c r="R11" s="64" t="str">
        <f>VLOOKUP(Q11,'[1]リンクデータ新(ロック解除PASS　1111) '!$B:$C,2,FALSE)</f>
        <v>CTP15FRN-CX DM4(NTK)</v>
      </c>
      <c r="U11" s="65">
        <v>509</v>
      </c>
      <c r="V11" s="65" t="str">
        <f>VLOOKUP(U11,'[1]リンクデータ新(ロック解除PASS　1111) '!$B:$C,2,FALSE)</f>
        <v>CCET040102ML-F PR1725(京セラ)</v>
      </c>
      <c r="W11" s="64"/>
      <c r="Y11" s="67">
        <v>609</v>
      </c>
      <c r="Z11" s="64" t="str">
        <f>VLOOKUP(Y11,'[1]リンクデータ新(ロック解除PASS　1111) '!$B:$C,2,FALSE)</f>
        <v>()</v>
      </c>
      <c r="AC11" s="63">
        <v>709</v>
      </c>
      <c r="AD11" s="63" t="str">
        <f>VLOOKUP(AC11,'[1]リンクデータ新(ロック解除PASS　1111) '!$B:$C,2,FALSE)</f>
        <v>()</v>
      </c>
    </row>
    <row r="12" spans="1:31" x14ac:dyDescent="0.15">
      <c r="A12" s="64">
        <v>10</v>
      </c>
      <c r="B12" s="64" t="str">
        <f>VLOOKUP(A12,'[1]リンクデータ新(ロック解除PASS　1111) '!$B:$C,2,FALSE)</f>
        <v>VPGT110302MP-CK PR1725(京セラ)</v>
      </c>
      <c r="E12" s="64">
        <v>110</v>
      </c>
      <c r="F12" s="64" t="str">
        <f>VLOOKUP(E12,'[1]リンクデータ新(ロック解除PASS　1111) '!$B:$C,2,FALSE)</f>
        <v>763S05-TIALN(アプリテック)</v>
      </c>
      <c r="I12" s="64">
        <v>210</v>
      </c>
      <c r="J12" s="64" t="str">
        <f>VLOOKUP(I12,'[1]リンクデータ新(ロック解除PASS　1111) '!$B:$C,2,FALSE)</f>
        <v>TTX32R6001 PR1115(京セラ)</v>
      </c>
      <c r="M12" s="64">
        <v>310</v>
      </c>
      <c r="N12" s="63" t="str">
        <f>VLOOKUP(M12,'[1]リンクデータ新(ロック解除PASS　1111) '!$B:$C,2,FALSE)</f>
        <v>GTMH32053RGX TM4(NTK)</v>
      </c>
      <c r="O12" s="64"/>
      <c r="Q12" s="64">
        <v>410</v>
      </c>
      <c r="R12" s="64" t="str">
        <f>VLOOKUP(Q12,'[1]リンクデータ新(ロック解除PASS　1111) '!$B:$C,2,FALSE)</f>
        <v>CTP15FLK-CX DM4(NTK)</v>
      </c>
      <c r="U12" s="65">
        <v>510</v>
      </c>
      <c r="V12" s="65" t="str">
        <f>VLOOKUP(U12,'[1]リンクデータ新(ロック解除PASS　1111) '!$B:$C,2,FALSE)</f>
        <v>CCET0602005MFL-U PR1535(京セラ)</v>
      </c>
      <c r="W12" s="64"/>
      <c r="Y12" s="64">
        <v>610</v>
      </c>
      <c r="Z12" s="64" t="str">
        <f>VLOOKUP(Y12,'[1]リンクデータ新(ロック解除PASS　1111) '!$B:$C,2,FALSE)</f>
        <v>()</v>
      </c>
      <c r="AC12" s="63">
        <v>710</v>
      </c>
      <c r="AD12" s="63" t="str">
        <f>VLOOKUP(AC12,'[1]リンクデータ新(ロック解除PASS　1111) '!$B:$C,2,FALSE)</f>
        <v>()</v>
      </c>
    </row>
    <row r="13" spans="1:31" x14ac:dyDescent="0.15">
      <c r="A13" s="64">
        <v>11</v>
      </c>
      <c r="B13" s="64" t="str">
        <f>VLOOKUP(A13,'[1]リンクデータ新(ロック解除PASS　1111) '!$B:$C,2,FALSE)</f>
        <v>VBGT110301R-F KW10(京セラ)</v>
      </c>
      <c r="E13" s="64">
        <v>111</v>
      </c>
      <c r="F13" s="64" t="str">
        <f>VLOOKUP(E13,'[1]リンクデータ新(ロック解除PASS　1111) '!$B:$C,2,FALSE)</f>
        <v>TBP72FR05-BM ST4(NTK)</v>
      </c>
      <c r="I13" s="64">
        <v>211</v>
      </c>
      <c r="J13" s="64" t="str">
        <f>VLOOKUP(I13,'[1]リンクデータ新(ロック解除PASS　1111) '!$B:$C,2,FALSE)</f>
        <v>VNTR045-11 PR930(京セラ)</v>
      </c>
      <c r="M13" s="64">
        <v>311</v>
      </c>
      <c r="N13" s="63" t="str">
        <f>VLOOKUP(M13,'[1]リンクデータ新(ロック解除PASS　1111) '!$B:$C,2,FALSE)</f>
        <v>GTMH32075RGX TM4(NTK)</v>
      </c>
      <c r="O13" s="64"/>
      <c r="Q13" s="64">
        <v>411</v>
      </c>
      <c r="R13" s="64" t="str">
        <f>VLOOKUP(Q13,'[1]リンクデータ新(ロック解除PASS　1111) '!$B:$C,2,FALSE)</f>
        <v>CTP15FLN-CX DM4(NTK)</v>
      </c>
      <c r="U13" s="65">
        <v>511</v>
      </c>
      <c r="V13" s="65" t="str">
        <f>VLOOKUP(U13,'[1]リンクデータ新(ロック解除PASS　1111) '!$B:$C,2,FALSE)</f>
        <v>CCET060201MFL-U PR1725(京セラ)</v>
      </c>
      <c r="W13" s="64"/>
      <c r="Y13" s="67">
        <v>611</v>
      </c>
      <c r="Z13" s="64" t="str">
        <f>VLOOKUP(Y13,'[1]リンクデータ新(ロック解除PASS　1111) '!$B:$C,2,FALSE)</f>
        <v>()</v>
      </c>
    </row>
    <row r="14" spans="1:31" x14ac:dyDescent="0.15">
      <c r="A14" s="64">
        <v>12</v>
      </c>
      <c r="B14" s="64" t="str">
        <f>VLOOKUP(A14,'[1]リンクデータ新(ロック解除PASS　1111) '!$B:$C,2,FALSE)</f>
        <v>CCGT060201MCL TM4(NTK)</v>
      </c>
      <c r="E14" s="64">
        <v>112</v>
      </c>
      <c r="F14" s="64" t="str">
        <f>VLOOKUP(E14,'[1]リンクデータ新(ロック解除PASS　1111) '!$B:$C,2,FALSE)</f>
        <v>()</v>
      </c>
      <c r="I14" s="64">
        <v>212</v>
      </c>
      <c r="J14" s="64" t="str">
        <f>VLOOKUP(I14,'[1]リンクデータ新(ロック解除PASS　1111) '!$B:$C,2,FALSE)</f>
        <v>VNTR060-11 PR1225(京セラ)</v>
      </c>
      <c r="M14" s="64">
        <v>312</v>
      </c>
      <c r="N14" s="63" t="str">
        <f>VLOOKUP(M14,'[1]リンクデータ新(ロック解除PASS　1111) '!$B:$C,2,FALSE)</f>
        <v>GTMH32095RGX TM4(NTK)</v>
      </c>
      <c r="O14" s="64"/>
      <c r="Q14" s="64">
        <v>412</v>
      </c>
      <c r="R14" s="64" t="str">
        <f>VLOOKUP(Q14,'[1]リンクデータ新(ロック解除PASS　1111) '!$B:$C,2,FALSE)</f>
        <v>GDM1516N-015PF PR1535(京セラ)</v>
      </c>
      <c r="U14" s="65">
        <v>512</v>
      </c>
      <c r="V14" s="65" t="str">
        <f>VLOOKUP(U14,'[1]リンクデータ新(ロック解除PASS　1111) '!$B:$C,2,FALSE)</f>
        <v>CCET060202MFL-U PR1725(京セラ)</v>
      </c>
      <c r="W14" s="64"/>
      <c r="Y14" s="67">
        <v>612</v>
      </c>
      <c r="Z14" s="64" t="str">
        <f>VLOOKUP(Y14,'[1]リンクデータ新(ロック解除PASS　1111) '!$B:$C,2,FALSE)</f>
        <v>()</v>
      </c>
    </row>
    <row r="15" spans="1:31" x14ac:dyDescent="0.15">
      <c r="A15" s="64">
        <v>13</v>
      </c>
      <c r="B15" s="64" t="str">
        <f>VLOOKUP(A15,'[1]リンクデータ新(ロック解除PASS　1111) '!$B:$C,2,FALSE)</f>
        <v>DCGT11T301MCL TM4(NTK)</v>
      </c>
      <c r="E15" s="64">
        <v>113</v>
      </c>
      <c r="F15" s="64" t="str">
        <f>VLOOKUP(E15,'[1]リンクデータ新(ロック解除PASS　1111) '!$B:$C,2,FALSE)</f>
        <v>()</v>
      </c>
      <c r="I15" s="64">
        <v>213</v>
      </c>
      <c r="J15" s="64" t="str">
        <f>VLOOKUP(I15,'[1]リンクデータ新(ロック解除PASS　1111) '!$B:$C,2,FALSE)</f>
        <v>12ERAA60 K20C(クワッドカット)</v>
      </c>
      <c r="M15" s="64">
        <v>313</v>
      </c>
      <c r="N15" s="63" t="str">
        <f>VLOOKUP(M15,'[1]リンクデータ新(ロック解除PASS　1111) '!$B:$C,2,FALSE)</f>
        <v>GTMH32150RGX TM4(NTK)</v>
      </c>
      <c r="O15" s="64"/>
      <c r="Q15" s="64">
        <v>413</v>
      </c>
      <c r="R15" s="64" t="str">
        <f>VLOOKUP(Q15,'[1]リンクデータ新(ロック解除PASS　1111) '!$B:$C,2,FALSE)</f>
        <v>GDM2020N-010PQ PR1535(京セラ)</v>
      </c>
      <c r="U15" s="65">
        <v>513</v>
      </c>
      <c r="V15" s="65" t="str">
        <f>VLOOKUP(U15,'[1]リンクデータ新(ロック解除PASS　1111) '!$B:$C,2,FALSE)</f>
        <v>CCGT03X100L-W08 TH10(タンガロイ)</v>
      </c>
      <c r="W15" s="64"/>
      <c r="Y15" s="64">
        <v>613</v>
      </c>
      <c r="Z15" s="64" t="str">
        <f>VLOOKUP(Y15,'[1]リンクデータ新(ロック解除PASS　1111) '!$B:$C,2,FALSE)</f>
        <v>()</v>
      </c>
    </row>
    <row r="16" spans="1:31" x14ac:dyDescent="0.15">
      <c r="A16" s="64">
        <v>14</v>
      </c>
      <c r="B16" s="64" t="str">
        <f>VLOOKUP(A16,'[1]リンクデータ新(ロック解除PASS　1111) '!$B:$C,2,FALSE)</f>
        <v>DCGT11T302MCL TM4(NTK)</v>
      </c>
      <c r="E16" s="64">
        <v>114</v>
      </c>
      <c r="F16" s="64" t="str">
        <f>VLOOKUP(E16,'[1]リンクデータ新(ロック解除PASS　1111) '!$B:$C,2,FALSE)</f>
        <v>()</v>
      </c>
      <c r="I16" s="64">
        <v>214</v>
      </c>
      <c r="J16" s="64" t="str">
        <f>VLOOKUP(I16,'[1]リンクデータ新(ロック解除PASS　1111) '!$B:$C,2,FALSE)</f>
        <v>12XA60 T10C(クワッドカット)</v>
      </c>
      <c r="M16" s="64">
        <v>314</v>
      </c>
      <c r="N16" s="63" t="str">
        <f>VLOOKUP(M16,'[1]リンクデータ新(ロック解除PASS　1111) '!$B:$C,2,FALSE)</f>
        <v>GTMH32200RGX DM4(NTK)</v>
      </c>
      <c r="O16" s="64"/>
      <c r="Q16" s="64">
        <v>414</v>
      </c>
      <c r="R16" s="64" t="str">
        <f>VLOOKUP(Q16,'[1]リンクデータ新(ロック解除PASS　1111) '!$B:$C,2,FALSE)</f>
        <v>GDM3020N-010PQ PR1535(京セラ)</v>
      </c>
      <c r="U16" s="65">
        <v>514</v>
      </c>
      <c r="V16" s="65" t="str">
        <f>VLOOKUP(U16,'[1]リンクデータ新(ロック解除PASS　1111) '!$B:$C,2,FALSE)</f>
        <v>CCGT04T100L-W08 TH10(タンガロイ)</v>
      </c>
      <c r="W16" s="64"/>
    </row>
    <row r="17" spans="1:23" x14ac:dyDescent="0.15">
      <c r="A17" s="64">
        <v>15</v>
      </c>
      <c r="B17" s="64" t="str">
        <f>VLOOKUP(A17,'[1]リンクデータ新(ロック解除PASS　1111) '!$B:$C,2,FALSE)</f>
        <v>DCGT11T301MYL TM4(NTK)</v>
      </c>
      <c r="I17" s="64">
        <v>215</v>
      </c>
      <c r="J17" s="64" t="str">
        <f>VLOOKUP(I17,'[1]リンクデータ新(ロック解除PASS　1111) '!$B:$C,2,FALSE)</f>
        <v>12XA55 T10C(クワッドカット)</v>
      </c>
      <c r="M17" s="64">
        <v>315</v>
      </c>
      <c r="N17" s="63" t="str">
        <f>VLOOKUP(M17,'[1]リンクデータ新(ロック解除PASS　1111) '!$B:$C,2,FALSE)</f>
        <v>GWPG300N02D-GW DM4(NTK)</v>
      </c>
      <c r="O17" s="64"/>
      <c r="Q17" s="64">
        <v>415</v>
      </c>
      <c r="R17" s="64" t="str">
        <f>VLOOKUP(Q17,'[1]リンクデータ新(ロック解除PASS　1111) '!$B:$C,2,FALSE)</f>
        <v>DGR1500JSS-15D IC908(イスカル)</v>
      </c>
      <c r="U17" s="65">
        <v>515</v>
      </c>
      <c r="V17" s="65" t="str">
        <f>VLOOKUP(U17,'[1]リンクデータ新(ロック解除PASS　1111) '!$B:$C,2,FALSE)</f>
        <v>CCGT060200FL-J10 TH10(タンガロイ)</v>
      </c>
      <c r="W17" s="64"/>
    </row>
    <row r="18" spans="1:23" x14ac:dyDescent="0.15">
      <c r="A18" s="64">
        <v>16</v>
      </c>
      <c r="B18" s="64" t="str">
        <f>VLOOKUP(A18,'[1]リンクデータ新(ロック解除PASS　1111) '!$B:$C,2,FALSE)</f>
        <v>TFD11FR05 VM1(NTK)</v>
      </c>
      <c r="I18" s="64">
        <v>216</v>
      </c>
      <c r="J18" s="64" t="str">
        <f>VLOOKUP(I18,'[1]リンクデータ新(ロック解除PASS　1111) '!$B:$C,2,FALSE)</f>
        <v>08IRA60 IC228(イスカル)</v>
      </c>
      <c r="M18" s="64">
        <v>316</v>
      </c>
      <c r="N18" s="63" t="str">
        <f>VLOOKUP(M18,'[1]リンクデータ新(ロック解除PASS　1111) '!$B:$C,2,FALSE)</f>
        <v>GWPG600N02G-GW DM4(NTK)</v>
      </c>
      <c r="O18" s="64"/>
      <c r="Q18" s="64">
        <v>416</v>
      </c>
      <c r="R18" s="64" t="str">
        <f>VLOOKUP(Q18,'[1]リンクデータ新(ロック解除PASS　1111) '!$B:$C,2,FALSE)</f>
        <v>DGR2200JSS-15D IC908(イスカル)</v>
      </c>
      <c r="U18" s="65">
        <v>516</v>
      </c>
      <c r="V18" s="65" t="str">
        <f>VLOOKUP(U18,'[1]リンクデータ新(ロック解除PASS　1111) '!$B:$C,2,FALSE)</f>
        <v>XCMT040104R-MF IC908(イスカル)</v>
      </c>
      <c r="W18" s="64"/>
    </row>
    <row r="19" spans="1:23" x14ac:dyDescent="0.15">
      <c r="A19" s="64">
        <v>17</v>
      </c>
      <c r="B19" s="64" t="str">
        <f>VLOOKUP(A19,'[1]リンクデータ新(ロック解除PASS　1111) '!$B:$C,2,FALSE)</f>
        <v>DCGW11T300H KM1(NTK)</v>
      </c>
      <c r="I19" s="64">
        <v>217</v>
      </c>
      <c r="J19" s="64" t="str">
        <f>VLOOKUP(I19,'[1]リンクデータ新(ロック解除PASS　1111) '!$B:$C,2,FALSE)</f>
        <v>08IRA55 IC228(イスカル)</v>
      </c>
      <c r="M19" s="64">
        <v>317</v>
      </c>
      <c r="N19" s="63" t="str">
        <f>VLOOKUP(M19,'[1]リンクデータ新(ロック解除PASS　1111) '!$B:$C,2,FALSE)</f>
        <v>764VS-1.0-TIALN(アプリテック)</v>
      </c>
      <c r="O19" s="64"/>
      <c r="Q19" s="64">
        <v>417</v>
      </c>
      <c r="R19" s="64" t="str">
        <f>VLOOKUP(Q19,'[1]リンクデータ新(ロック解除PASS　1111) '!$B:$C,2,FALSE)</f>
        <v>DGR3100JSS-15D IC908(イスカル)</v>
      </c>
      <c r="U19" s="65">
        <v>517</v>
      </c>
      <c r="V19" s="65" t="str">
        <f>VLOOKUP(U19,'[1]リンクデータ新(ロック解除PASS　1111) '!$B:$C,2,FALSE)</f>
        <v>XCMT050204-MF IC908(イスカル)</v>
      </c>
      <c r="W19" s="64"/>
    </row>
    <row r="20" spans="1:23" x14ac:dyDescent="0.15">
      <c r="A20" s="64">
        <v>18</v>
      </c>
      <c r="B20" s="64" t="str">
        <f>VLOOKUP(A20,'[1]リンクデータ新(ロック解除PASS　1111) '!$B:$C,2,FALSE)</f>
        <v>VCGT110301MCL TM4(NTK)</v>
      </c>
      <c r="I20" s="64">
        <v>218</v>
      </c>
      <c r="J20" s="64" t="str">
        <f>VLOOKUP(I20,'[1]リンクデータ新(ロック解除PASS　1111) '!$B:$C,2,FALSE)</f>
        <v>11IRA60 IC908(イスカル)</v>
      </c>
      <c r="M20" s="64">
        <v>318</v>
      </c>
      <c r="N20" s="63" t="str">
        <f>VLOOKUP(M20,'[1]リンクデータ新(ロック解除PASS　1111) '!$B:$C,2,FALSE)</f>
        <v>764VS-1.2-TIALN(アプリテック)</v>
      </c>
      <c r="O20" s="64"/>
      <c r="Q20" s="64">
        <v>418</v>
      </c>
      <c r="R20" s="64" t="str">
        <f>VLOOKUP(Q20,'[1]リンクデータ新(ロック解除PASS　1111) '!$B:$C,2,FALSE)</f>
        <v>GDM1516R-003PF-15D PR1535(京セラ)</v>
      </c>
      <c r="U20" s="65">
        <v>518</v>
      </c>
      <c r="V20" s="65" t="str">
        <f>VLOOKUP(U20,'[1]リンクデータ新(ロック解除PASS　1111) '!$B:$C,2,FALSE)</f>
        <v>CCGT03X101F-JS SH725(タンガロイ)</v>
      </c>
    </row>
    <row r="21" spans="1:23" x14ac:dyDescent="0.15">
      <c r="A21" s="64">
        <v>19</v>
      </c>
      <c r="B21" s="64" t="str">
        <f>VLOOKUP(A21,'[1]リンクデータ新(ロック解除PASS　1111) '!$B:$C,2,FALSE)</f>
        <v>CCGT060200FN-JS SH725(タンガロイ)</v>
      </c>
      <c r="I21" s="64">
        <v>219</v>
      </c>
      <c r="J21" s="64" t="str">
        <f>VLOOKUP(I21,'[1]リンクデータ新(ロック解除PASS　1111) '!$B:$C,2,FALSE)</f>
        <v>12ER0.5ISO K20C(クワッドカット)</v>
      </c>
      <c r="M21" s="64">
        <v>319</v>
      </c>
      <c r="N21" s="63" t="str">
        <f>VLOOKUP(M21,'[1]リンクデータ新(ロック解除PASS　1111) '!$B:$C,2,FALSE)</f>
        <v>764VS-1.5-TIALN(アプリテック)</v>
      </c>
      <c r="O21" s="64"/>
      <c r="Q21" s="64">
        <v>419</v>
      </c>
      <c r="R21" s="64" t="str">
        <f>VLOOKUP(Q21,'[1]リンクデータ新(ロック解除PASS　1111) '!$B:$C,2,FALSE)</f>
        <v>()</v>
      </c>
      <c r="U21" s="65">
        <v>519</v>
      </c>
      <c r="V21" s="65" t="str">
        <f>VLOOKUP(U21,'[1]リンクデータ新(ロック解除PASS　1111) '!$B:$C,2,FALSE)</f>
        <v>CCGT03X102F-JS SH725(タンガロイ)</v>
      </c>
    </row>
    <row r="22" spans="1:23" x14ac:dyDescent="0.15">
      <c r="A22" s="64">
        <v>20</v>
      </c>
      <c r="B22" s="64" t="str">
        <f>VLOOKUP(A22,'[1]リンクデータ新(ロック解除PASS　1111) '!$B:$C,2,FALSE)</f>
        <v>CCGT060202-AL KS05F(タンガロイ)</v>
      </c>
      <c r="I22" s="64">
        <v>220</v>
      </c>
      <c r="J22" s="64" t="str">
        <f>VLOOKUP(I22,'[1]リンクデータ新(ロック解除PASS　1111) '!$B:$C,2,FALSE)</f>
        <v>12ER0.75ISO K20C(クワッドカット)</v>
      </c>
      <c r="M22" s="64">
        <v>320</v>
      </c>
      <c r="N22" s="63" t="str">
        <f>VLOOKUP(M22,'[1]リンクデータ新(ロック解除PASS　1111) '!$B:$C,2,FALSE)</f>
        <v>764VS-2.0-TIALN(アプリテック)</v>
      </c>
      <c r="O22" s="64"/>
      <c r="Q22" s="64">
        <v>420</v>
      </c>
      <c r="R22" s="64" t="str">
        <f>VLOOKUP(Q22,'[1]リンクデータ新(ロック解除PASS　1111) '!$B:$C,2,FALSE)</f>
        <v>()</v>
      </c>
      <c r="U22" s="65">
        <v>520</v>
      </c>
      <c r="V22" s="65" t="str">
        <f>VLOOKUP(U22,'[1]リンクデータ新(ロック解除PASS　1111) '!$B:$C,2,FALSE)</f>
        <v>CCGT04T101F-JS SH725(タンガロイ)</v>
      </c>
    </row>
    <row r="23" spans="1:23" x14ac:dyDescent="0.15">
      <c r="A23" s="64">
        <v>21</v>
      </c>
      <c r="B23" s="64" t="str">
        <f>VLOOKUP(A23,'[1]リンクデータ新(ロック解除PASS　1111) '!$B:$C,2,FALSE)</f>
        <v>DCGT11T302-AL KS05F(タンガロイ)</v>
      </c>
      <c r="I23" s="64">
        <v>221</v>
      </c>
      <c r="J23" s="64" t="str">
        <f>VLOOKUP(I23,'[1]リンクデータ新(ロック解除PASS　1111) '!$B:$C,2,FALSE)</f>
        <v>12E1.0ISO T10C(クワッドカット)</v>
      </c>
      <c r="M23" s="64">
        <v>321</v>
      </c>
      <c r="N23" s="63" t="str">
        <f>VLOOKUP(M23,'[1]リンクデータ新(ロック解除PASS　1111) '!$B:$C,2,FALSE)</f>
        <v>764VS-2.5-TIALN(アプリテック)</v>
      </c>
      <c r="O23" s="64"/>
      <c r="Q23" s="64">
        <v>421</v>
      </c>
      <c r="R23" s="64" t="str">
        <f>VLOOKUP(Q23,'[1]リンクデータ新(ロック解除PASS　1111) '!$B:$C,2,FALSE)</f>
        <v>()</v>
      </c>
      <c r="U23" s="65">
        <v>521</v>
      </c>
      <c r="V23" s="65" t="str">
        <f>VLOOKUP(U23,'[1]リンクデータ新(ロック解除PASS　1111) '!$B:$C,2,FALSE)</f>
        <v>CCGT04T102F-JS SH725(タンガロイ)</v>
      </c>
    </row>
    <row r="24" spans="1:23" x14ac:dyDescent="0.15">
      <c r="A24" s="64">
        <v>22</v>
      </c>
      <c r="B24" s="64" t="str">
        <f>VLOOKUP(A24,'[1]リンクデータ新(ロック解除PASS　1111) '!$B:$C,2,FALSE)</f>
        <v>DCGT11T301FN-JS SH725(タンガロイ)</v>
      </c>
      <c r="I24" s="64">
        <v>222</v>
      </c>
      <c r="J24" s="64" t="str">
        <f>VLOOKUP(I24,'[1]リンクデータ新(ロック解除PASS　1111) '!$B:$C,2,FALSE)</f>
        <v>12ER1.0ISO2M T10C(クワッドカット)</v>
      </c>
      <c r="M24" s="64">
        <v>322</v>
      </c>
      <c r="N24" s="63" t="str">
        <f>VLOOKUP(M24,'[1]リンクデータ新(ロック解除PASS　1111) '!$B:$C,2,FALSE)</f>
        <v>764-1.2-TIALN(アプリテック)</v>
      </c>
      <c r="O24" s="64"/>
      <c r="Q24" s="64">
        <v>422</v>
      </c>
      <c r="R24" s="64" t="str">
        <f>VLOOKUP(Q24,'[1]リンクデータ新(ロック解除PASS　1111) '!$B:$C,2,FALSE)</f>
        <v>()</v>
      </c>
      <c r="U24" s="65">
        <v>522</v>
      </c>
      <c r="V24" s="65" t="str">
        <f>VLOOKUP(U24,'[1]リンクデータ新(ロック解除PASS　1111) '!$B:$C,2,FALSE)</f>
        <v>SHFS020R005H TM4(NTK)</v>
      </c>
    </row>
    <row r="25" spans="1:23" x14ac:dyDescent="0.15">
      <c r="A25" s="64">
        <v>23</v>
      </c>
      <c r="B25" s="64" t="str">
        <f>VLOOKUP(A25,'[1]リンクデータ新(ロック解除PASS　1111) '!$B:$C,2,FALSE)</f>
        <v>DCGT11T302FN-JS SH725(タンガロイ)</v>
      </c>
      <c r="I25" s="64">
        <v>223</v>
      </c>
      <c r="J25" s="64" t="str">
        <f>VLOOKUP(I25,'[1]リンクデータ新(ロック解除PASS　1111) '!$B:$C,2,FALSE)</f>
        <v>()</v>
      </c>
      <c r="M25" s="64">
        <v>323</v>
      </c>
      <c r="N25" s="63" t="str">
        <f>VLOOKUP(M25,'[1]リンクデータ新(ロック解除PASS　1111) '!$B:$C,2,FALSE)</f>
        <v>764-2.5-TIALN(アプリテック)</v>
      </c>
      <c r="O25" s="64"/>
      <c r="Q25" s="64">
        <v>423</v>
      </c>
      <c r="R25" s="64" t="str">
        <f>VLOOKUP(Q25,'[1]リンクデータ新(ロック解除PASS　1111) '!$B:$C,2,FALSE)</f>
        <v>()</v>
      </c>
      <c r="U25" s="65">
        <v>523</v>
      </c>
      <c r="V25" s="65" t="str">
        <f>VLOOKUP(U25,'[1]リンクデータ新(ロック解除PASS　1111) '!$B:$C,2,FALSE)</f>
        <v>SHFS025R005H TM4(NTK)</v>
      </c>
    </row>
    <row r="26" spans="1:23" x14ac:dyDescent="0.15">
      <c r="A26" s="64">
        <v>24</v>
      </c>
      <c r="B26" s="64" t="str">
        <f>VLOOKUP(A26,'[1]リンクデータ新(ロック解除PASS　1111) '!$B:$C,2,FALSE)</f>
        <v>CCGT060202M-SMG VP15TF(三菱)</v>
      </c>
      <c r="I26" s="64">
        <v>224</v>
      </c>
      <c r="J26" s="64" t="str">
        <f>VLOOKUP(I26,'[1]リンクデータ新(ロック解除PASS　1111) '!$B:$C,2,FALSE)</f>
        <v>()</v>
      </c>
      <c r="M26" s="64">
        <v>324</v>
      </c>
      <c r="N26" s="63" t="str">
        <f>VLOOKUP(M26,'[1]リンクデータ新(ロック解除PASS　1111) '!$B:$C,2,FALSE)</f>
        <v>764ZX10-2.0-R08-TIALN(アプリテック)</v>
      </c>
      <c r="O26" s="64"/>
      <c r="Q26" s="64">
        <v>424</v>
      </c>
      <c r="R26" s="64" t="str">
        <f>VLOOKUP(Q26,'[1]リンクデータ新(ロック解除PASS　1111) '!$B:$C,2,FALSE)</f>
        <v>()</v>
      </c>
      <c r="U26" s="65">
        <v>524</v>
      </c>
      <c r="V26" s="65" t="str">
        <f>VLOOKUP(U26,'[1]リンクデータ新(ロック解除PASS　1111) '!$B:$C,2,FALSE)</f>
        <v>SHFS030R005H TM4(NTK)</v>
      </c>
    </row>
    <row r="27" spans="1:23" x14ac:dyDescent="0.15">
      <c r="A27" s="64">
        <v>25</v>
      </c>
      <c r="B27" s="64" t="str">
        <f>VLOOKUP(A27,'[1]リンクデータ新(ロック解除PASS　1111) '!$B:$C,2,FALSE)</f>
        <v>DCGT11T302M-SMG VP15TF(三菱)</v>
      </c>
      <c r="I27" s="64">
        <v>225</v>
      </c>
      <c r="J27" s="64" t="str">
        <f>VLOOKUP(I27,'[1]リンクデータ新(ロック解除PASS　1111) '!$B:$C,2,FALSE)</f>
        <v>()</v>
      </c>
      <c r="M27" s="64">
        <v>325</v>
      </c>
      <c r="N27" s="63" t="str">
        <f>VLOOKUP(M27,'[1]リンクデータ新(ロック解除PASS　1111) '!$B:$C,2,FALSE)</f>
        <v>TWFGTR180 PR1025(京セラ)</v>
      </c>
      <c r="O27" s="64"/>
      <c r="Q27" s="64">
        <v>425</v>
      </c>
      <c r="R27" s="64" t="str">
        <f>VLOOKUP(Q27,'[1]リンクデータ新(ロック解除PASS　1111) '!$B:$C,2,FALSE)</f>
        <v>()</v>
      </c>
      <c r="U27" s="65">
        <v>525</v>
      </c>
      <c r="V27" s="65" t="str">
        <f>VLOOKUP(U27,'[1]リンクデータ新(ロック解除PASS　1111) '!$B:$C,2,FALSE)</f>
        <v>SHFS040R005H TM4(NTK)</v>
      </c>
    </row>
    <row r="28" spans="1:23" x14ac:dyDescent="0.15">
      <c r="A28" s="64">
        <v>26</v>
      </c>
      <c r="B28" s="64" t="str">
        <f>VLOOKUP(A28,'[1]リンクデータ新(ロック解除PASS　1111) '!$B:$C,2,FALSE)</f>
        <v>VPGT110301M-SMG VP15TF(三菱)</v>
      </c>
      <c r="I28" s="64">
        <v>226</v>
      </c>
      <c r="J28" s="64" t="str">
        <f>VLOOKUP(I28,'[1]リンクデータ新(ロック解除PASS　1111) '!$B:$C,2,FALSE)</f>
        <v>()</v>
      </c>
      <c r="M28" s="64">
        <v>326</v>
      </c>
      <c r="N28" s="63" t="str">
        <f>VLOOKUP(M28,'[1]リンクデータ新(ロック解除PASS　1111) '!$B:$C,2,FALSE)</f>
        <v>TWFGL100 PR1025(京セラ)</v>
      </c>
      <c r="O28" s="64"/>
      <c r="U28" s="65">
        <v>526</v>
      </c>
      <c r="V28" s="65" t="str">
        <f>VLOOKUP(U28,'[1]リンクデータ新(ロック解除PASS　1111) '!$B:$C,2,FALSE)</f>
        <v>()</v>
      </c>
    </row>
    <row r="29" spans="1:23" x14ac:dyDescent="0.15">
      <c r="A29" s="64">
        <v>27</v>
      </c>
      <c r="B29" s="64" t="str">
        <f>VLOOKUP(A29,'[1]リンクデータ新(ロック解除PASS　1111) '!$B:$C,2,FALSE)</f>
        <v>VPGT110302M-SMG VP15TF(三菱)</v>
      </c>
      <c r="I29" s="64">
        <v>227</v>
      </c>
      <c r="J29" s="64" t="str">
        <f>VLOOKUP(I29,'[1]リンクデータ新(ロック解除PASS　1111) '!$B:$C,2,FALSE)</f>
        <v>()</v>
      </c>
      <c r="M29" s="64">
        <v>327</v>
      </c>
      <c r="N29" s="63" t="str">
        <f>VLOOKUP(M29,'[1]リンクデータ新(ロック解除PASS　1111) '!$B:$C,2,FALSE)</f>
        <v>TWFGL180 PR1025(京セラ)</v>
      </c>
      <c r="O29" s="64"/>
    </row>
    <row r="30" spans="1:23" x14ac:dyDescent="0.15">
      <c r="A30" s="64">
        <v>28</v>
      </c>
      <c r="B30" s="64" t="str">
        <f>VLOOKUP(A30,'[1]リンクデータ新(ロック解除PASS　1111) '!$B:$C,2,FALSE)</f>
        <v>DCGT11T301MN-FC ACZ150(住友)</v>
      </c>
      <c r="M30" s="64">
        <v>328</v>
      </c>
      <c r="N30" s="63" t="str">
        <f>VLOOKUP(M30,'[1]リンクデータ新(ロック解除PASS　1111) '!$B:$C,2,FALSE)</f>
        <v>GTMX32V90R005 TM4(NTK)</v>
      </c>
    </row>
    <row r="31" spans="1:23" x14ac:dyDescent="0.15">
      <c r="A31" s="68">
        <v>29</v>
      </c>
      <c r="B31" s="64" t="str">
        <f>VLOOKUP(A31,'[1]リンクデータ新(ロック解除PASS　1111) '!$B:$C,2,FALSE)</f>
        <v>VCGT110301MN-FC ACZ150(住友)</v>
      </c>
      <c r="M31" s="64">
        <v>329</v>
      </c>
      <c r="N31" s="63" t="str">
        <f>VLOOKUP(M31,'[1]リンクデータ新(ロック解除PASS　1111) '!$B:$C,2,FALSE)</f>
        <v>GTMH32300RGX DM4(NTK)</v>
      </c>
    </row>
    <row r="32" spans="1:23" x14ac:dyDescent="0.15">
      <c r="A32" s="68">
        <v>30</v>
      </c>
      <c r="B32" s="64" t="str">
        <f>VLOOKUP(A32,'[1]リンクデータ新(ロック解除PASS　1111) '!$B:$C,2,FALSE)</f>
        <v>VCGT110302N-AG(住友)</v>
      </c>
      <c r="M32" s="64">
        <v>330</v>
      </c>
      <c r="N32" s="63" t="str">
        <f>VLOOKUP(M32,'[1]リンクデータ新(ロック解除PASS　1111) '!$B:$C,2,FALSE)</f>
        <v>()</v>
      </c>
    </row>
    <row r="33" spans="1:14" x14ac:dyDescent="0.15">
      <c r="A33" s="64">
        <v>31</v>
      </c>
      <c r="B33" s="64" t="str">
        <f>VLOOKUP(A33,'[1]リンクデータ新(ロック解除PASS　1111) '!$B:$C,2,FALSE)</f>
        <v>()</v>
      </c>
      <c r="M33" s="64">
        <v>331</v>
      </c>
      <c r="N33" s="63" t="str">
        <f>VLOOKUP(M33,'[1]リンクデータ新(ロック解除PASS　1111) '!$B:$C,2,FALSE)</f>
        <v>()</v>
      </c>
    </row>
    <row r="34" spans="1:14" x14ac:dyDescent="0.15">
      <c r="A34" s="64">
        <v>32</v>
      </c>
      <c r="B34" s="64" t="str">
        <f>VLOOKUP(A34,'[1]リンクデータ新(ロック解除PASS　1111) '!$B:$C,2,FALSE)</f>
        <v>DCGT11T301-UM 5015(サンドピック)</v>
      </c>
      <c r="M34" s="64">
        <v>332</v>
      </c>
      <c r="N34" s="63" t="str">
        <f>VLOOKUP(M34,'[1]リンクデータ新(ロック解除PASS　1111) '!$B:$C,2,FALSE)</f>
        <v>()</v>
      </c>
    </row>
    <row r="35" spans="1:14" x14ac:dyDescent="0.15">
      <c r="A35" s="64">
        <v>33</v>
      </c>
      <c r="B35" s="64" t="str">
        <f>VLOOKUP(A35,'[1]リンクデータ新(ロック解除PASS　1111) '!$B:$C,2,FALSE)</f>
        <v>TNMG160402R-LD PR1535(京セラ)</v>
      </c>
      <c r="M35" s="64">
        <v>333</v>
      </c>
      <c r="N35" s="63" t="str">
        <f>VLOOKUP(M35,'[1]リンクデータ新(ロック解除PASS　1111) '!$B:$C,2,FALSE)</f>
        <v>()</v>
      </c>
    </row>
    <row r="36" spans="1:14" x14ac:dyDescent="0.15">
      <c r="A36" s="64">
        <v>34</v>
      </c>
      <c r="B36" s="64" t="str">
        <f>VLOOKUP(A36,'[1]リンクデータ新(ロック解除PASS　1111) '!$B:$C,2,FALSE)</f>
        <v>DCGT11T301MFP-SKS PR1725(京セラ)</v>
      </c>
    </row>
    <row r="37" spans="1:14" x14ac:dyDescent="0.15">
      <c r="A37" s="64">
        <v>35</v>
      </c>
      <c r="B37" s="64" t="str">
        <f>VLOOKUP(A37,'[1]リンクデータ新(ロック解除PASS　1111) '!$B:$C,2,FALSE)</f>
        <v>DCGT11T302MFP-SKS PR1725(京セラ)</v>
      </c>
    </row>
    <row r="38" spans="1:14" x14ac:dyDescent="0.15">
      <c r="A38" s="68">
        <v>36</v>
      </c>
      <c r="B38" s="64" t="str">
        <f>VLOOKUP(A38,'[1]リンクデータ新(ロック解除PASS　1111) '!$B:$C,2,FALSE)</f>
        <v>CCGT060201MFP-SKS PR1725(京セラ)</v>
      </c>
    </row>
    <row r="39" spans="1:14" x14ac:dyDescent="0.15">
      <c r="A39" s="68">
        <v>37</v>
      </c>
      <c r="B39" s="64" t="str">
        <f>VLOOKUP(A39,'[1]リンクデータ新(ロック解除PASS　1111) '!$B:$C,2,FALSE)</f>
        <v>CCGT060202MFP-SKS PR1725(京セラ)</v>
      </c>
    </row>
    <row r="40" spans="1:14" x14ac:dyDescent="0.15">
      <c r="A40" s="64">
        <v>38</v>
      </c>
      <c r="B40" s="64" t="str">
        <f>VLOOKUP(A40,'[1]リンクデータ新(ロック解除PASS　1111) '!$B:$C,2,FALSE)</f>
        <v>VPGT110301MFP-SKS PR1725(京セラ)</v>
      </c>
    </row>
    <row r="41" spans="1:14" x14ac:dyDescent="0.15">
      <c r="A41" s="64">
        <v>39</v>
      </c>
      <c r="B41" s="64" t="str">
        <f>VLOOKUP(A41,'[1]リンクデータ新(ロック解除PASS　1111) '!$B:$C,2,FALSE)</f>
        <v>VPGT110302MFP-SKS PR1725(京セラ)</v>
      </c>
    </row>
    <row r="42" spans="1:14" x14ac:dyDescent="0.15">
      <c r="A42" s="64">
        <v>40</v>
      </c>
      <c r="B42" s="64" t="str">
        <f>VLOOKUP(A42,'[1]リンクデータ新(ロック解除PASS　1111) '!$B:$C,2,FALSE)</f>
        <v>()</v>
      </c>
    </row>
    <row r="43" spans="1:14" x14ac:dyDescent="0.15">
      <c r="A43" s="64">
        <v>41</v>
      </c>
      <c r="B43" s="64" t="str">
        <f>VLOOKUP(A43,'[1]リンクデータ新(ロック解除PASS　1111) '!$B:$C,2,FALSE)</f>
        <v>()</v>
      </c>
    </row>
    <row r="44" spans="1:14" x14ac:dyDescent="0.15">
      <c r="A44" s="68">
        <v>42</v>
      </c>
      <c r="B44" s="64" t="str">
        <f>VLOOKUP(A44,'[1]リンクデータ新(ロック解除PASS　1111) '!$B:$C,2,FALSE)</f>
        <v>()</v>
      </c>
    </row>
  </sheetData>
  <sheetProtection algorithmName="SHA-512" hashValue="cZEKyyLfzawLEU4Ew6ildmQ2lBZizNQQZ1/SAzK8ChkEi4P+0u/KHFAFr9wFYBmQReABo8HXr38//0IrXThXWA==" saltValue="aeIPmwOTyxKNai97F/U7cw==" spinCount="100000" sheet="1" objects="1" scenarios="1"/>
  <mergeCells count="8">
    <mergeCell ref="Z2:AA2"/>
    <mergeCell ref="AD2:AE2"/>
    <mergeCell ref="B2:C2"/>
    <mergeCell ref="F2:G2"/>
    <mergeCell ref="J2:K2"/>
    <mergeCell ref="N2:O2"/>
    <mergeCell ref="R2:S2"/>
    <mergeCell ref="V2:W2"/>
  </mergeCells>
  <phoneticPr fontId="28"/>
  <dataValidations count="1">
    <dataValidation type="custom" allowBlank="1" showInputMessage="1" showErrorMessage="1" sqref="B4:B6" xr:uid="{E735504B-FFEF-4216-BF5A-F7C41677D232}">
      <formula1>COUNTIF(B:B,B4)=1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加工工程管理表</vt:lpstr>
      <vt:lpstr>刃工具詳細</vt:lpstr>
      <vt:lpstr>棚番リンク🔒1111</vt:lpstr>
      <vt:lpstr>加工工程管理表!Print_Area</vt:lpstr>
    </vt:vector>
  </TitlesOfParts>
  <Company>松本興産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seizou.19</dc:creator>
  <cp:lastModifiedBy>SEIZOU-12</cp:lastModifiedBy>
  <cp:lastPrinted>2024-10-25T05:29:45Z</cp:lastPrinted>
  <dcterms:created xsi:type="dcterms:W3CDTF">2005-04-07T09:10:54Z</dcterms:created>
  <dcterms:modified xsi:type="dcterms:W3CDTF">2025-02-06T09:10:12Z</dcterms:modified>
</cp:coreProperties>
</file>